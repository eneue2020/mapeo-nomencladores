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la.Neue\Desktop\mapeo\"/>
    </mc:Choice>
  </mc:AlternateContent>
  <xr:revisionPtr revIDLastSave="0" documentId="13_ncr:1_{67BC188A-4013-4833-BD83-7BBC8D1260D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Aranceles Institucionales" sheetId="1" r:id="rId1"/>
    <sheet name="Proc. Neuroendovasculares" sheetId="2" r:id="rId2"/>
    <sheet name="Cirugías bariátricas" sheetId="3" r:id="rId3"/>
    <sheet name="Cirugías" sheetId="4" r:id="rId4"/>
    <sheet name="Tests de Alergia" sheetId="5" r:id="rId5"/>
    <sheet name="Anatomia Patologica" sheetId="6" r:id="rId6"/>
    <sheet name="HM AAARBA" sheetId="8" r:id="rId7"/>
    <sheet name="TTO DEL DOLOR" sheetId="9" r:id="rId8"/>
  </sheets>
  <definedNames>
    <definedName name="_xlnm._FilterDatabase" localSheetId="0" hidden="1">'Aranceles Institucionales'!$E$1:$E$1011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uk9mQz68VJTSqQaIe6vplCEQKve9Th/zf5AXZRQRaYA="/>
    </ext>
  </extLst>
</workbook>
</file>

<file path=xl/calcChain.xml><?xml version="1.0" encoding="utf-8"?>
<calcChain xmlns="http://schemas.openxmlformats.org/spreadsheetml/2006/main">
  <c r="D474" i="1" l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5" i="8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3" i="6"/>
  <c r="E24" i="6"/>
  <c r="E25" i="6"/>
  <c r="E26" i="6"/>
  <c r="E27" i="6"/>
  <c r="E28" i="6"/>
  <c r="E29" i="6"/>
  <c r="E30" i="6"/>
  <c r="E31" i="6"/>
  <c r="E32" i="6"/>
  <c r="E33" i="6"/>
  <c r="E6" i="6"/>
  <c r="F6" i="5"/>
  <c r="F7" i="5"/>
  <c r="F8" i="5"/>
  <c r="F9" i="5"/>
  <c r="F10" i="5"/>
  <c r="F11" i="5"/>
  <c r="F12" i="5"/>
  <c r="F5" i="5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" i="4"/>
  <c r="F6" i="3"/>
  <c r="F7" i="3"/>
  <c r="F8" i="3"/>
  <c r="F10" i="3"/>
  <c r="F11" i="3"/>
  <c r="F12" i="3"/>
  <c r="F13" i="3"/>
  <c r="F5" i="3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I4" i="2"/>
  <c r="H4" i="2"/>
  <c r="E49" i="1"/>
  <c r="E373" i="1"/>
  <c r="E432" i="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5" i="8"/>
  <c r="D24" i="6"/>
  <c r="D25" i="6"/>
  <c r="D26" i="6"/>
  <c r="D27" i="6"/>
  <c r="D28" i="6"/>
  <c r="D29" i="6"/>
  <c r="D30" i="6"/>
  <c r="D31" i="6"/>
  <c r="D32" i="6"/>
  <c r="D33" i="6"/>
  <c r="D23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6" i="6"/>
  <c r="E6" i="5"/>
  <c r="E7" i="5"/>
  <c r="E8" i="5"/>
  <c r="E9" i="5"/>
  <c r="E10" i="5"/>
  <c r="E11" i="5"/>
  <c r="E12" i="5"/>
  <c r="E5" i="5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" i="4"/>
  <c r="E6" i="3"/>
  <c r="E7" i="3"/>
  <c r="E8" i="3"/>
  <c r="E10" i="3"/>
  <c r="E11" i="3"/>
  <c r="E12" i="3"/>
  <c r="E13" i="3"/>
  <c r="E5" i="3"/>
  <c r="G5" i="2"/>
  <c r="G6" i="2"/>
  <c r="G7" i="2"/>
  <c r="G8" i="2"/>
  <c r="G9" i="2"/>
  <c r="G10" i="2"/>
  <c r="G11" i="2"/>
  <c r="G12" i="2"/>
  <c r="G13" i="2"/>
  <c r="G14" i="2"/>
  <c r="G15" i="2"/>
  <c r="G16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549" i="1"/>
  <c r="E549" i="1" s="1"/>
  <c r="D480" i="1"/>
  <c r="E480" i="1" s="1"/>
  <c r="D483" i="1"/>
  <c r="E483" i="1" s="1"/>
  <c r="D484" i="1"/>
  <c r="E484" i="1" s="1"/>
  <c r="D485" i="1"/>
  <c r="E485" i="1" s="1"/>
  <c r="D486" i="1"/>
  <c r="E486" i="1" s="1"/>
  <c r="D487" i="1"/>
  <c r="E487" i="1" s="1"/>
  <c r="D489" i="1"/>
  <c r="E489" i="1" s="1"/>
  <c r="D491" i="1"/>
  <c r="E491" i="1" s="1"/>
  <c r="D493" i="1"/>
  <c r="E493" i="1" s="1"/>
  <c r="D495" i="1"/>
  <c r="E495" i="1" s="1"/>
  <c r="D497" i="1"/>
  <c r="E497" i="1" s="1"/>
  <c r="D499" i="1"/>
  <c r="E499" i="1" s="1"/>
  <c r="D501" i="1"/>
  <c r="E501" i="1" s="1"/>
  <c r="D503" i="1"/>
  <c r="E503" i="1" s="1"/>
  <c r="D507" i="1"/>
  <c r="E507" i="1" s="1"/>
  <c r="D508" i="1"/>
  <c r="E508" i="1" s="1"/>
  <c r="D509" i="1"/>
  <c r="E509" i="1" s="1"/>
  <c r="D510" i="1"/>
  <c r="E510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479" i="1"/>
  <c r="E479" i="1" s="1"/>
  <c r="D340" i="1"/>
  <c r="E340" i="1" s="1"/>
  <c r="D341" i="1"/>
  <c r="E341" i="1" s="1"/>
  <c r="D342" i="1"/>
  <c r="E342" i="1" s="1"/>
  <c r="D343" i="1"/>
  <c r="E343" i="1" s="1"/>
  <c r="D344" i="1"/>
  <c r="E344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6" i="1"/>
  <c r="E356" i="1" s="1"/>
  <c r="D357" i="1"/>
  <c r="E357" i="1" s="1"/>
  <c r="D358" i="1"/>
  <c r="E358" i="1" s="1"/>
  <c r="D360" i="1"/>
  <c r="E360" i="1" s="1"/>
  <c r="D361" i="1"/>
  <c r="E361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3" i="1"/>
  <c r="D374" i="1"/>
  <c r="E374" i="1" s="1"/>
  <c r="D375" i="1"/>
  <c r="E375" i="1" s="1"/>
  <c r="D376" i="1"/>
  <c r="E376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5" i="1"/>
  <c r="E385" i="1" s="1"/>
  <c r="D386" i="1"/>
  <c r="E386" i="1" s="1"/>
  <c r="D387" i="1"/>
  <c r="E387" i="1" s="1"/>
  <c r="D388" i="1"/>
  <c r="E388" i="1" s="1"/>
  <c r="D389" i="1"/>
  <c r="E389" i="1" s="1"/>
  <c r="D391" i="1"/>
  <c r="E391" i="1" s="1"/>
  <c r="D392" i="1"/>
  <c r="E392" i="1" s="1"/>
  <c r="D393" i="1"/>
  <c r="E393" i="1" s="1"/>
  <c r="D395" i="1"/>
  <c r="E395" i="1" s="1"/>
  <c r="D396" i="1"/>
  <c r="E396" i="1" s="1"/>
  <c r="D397" i="1"/>
  <c r="E397" i="1" s="1"/>
  <c r="D398" i="1"/>
  <c r="E398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30" i="1"/>
  <c r="E430" i="1" s="1"/>
  <c r="D431" i="1"/>
  <c r="E431" i="1" s="1"/>
  <c r="D432" i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4" i="1"/>
  <c r="E454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339" i="1"/>
  <c r="E339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281" i="1"/>
  <c r="E281" i="1" s="1"/>
  <c r="D253" i="1"/>
  <c r="E253" i="1" s="1"/>
  <c r="D255" i="1"/>
  <c r="E255" i="1" s="1"/>
  <c r="D256" i="1"/>
  <c r="E256" i="1" s="1"/>
  <c r="D257" i="1"/>
  <c r="E257" i="1" s="1"/>
  <c r="D258" i="1"/>
  <c r="E258" i="1" s="1"/>
  <c r="D259" i="1"/>
  <c r="E259" i="1" s="1"/>
  <c r="D261" i="1"/>
  <c r="E261" i="1" s="1"/>
  <c r="D263" i="1"/>
  <c r="E263" i="1" s="1"/>
  <c r="D265" i="1"/>
  <c r="E265" i="1" s="1"/>
  <c r="D267" i="1"/>
  <c r="E267" i="1" s="1"/>
  <c r="D269" i="1"/>
  <c r="E269" i="1" s="1"/>
  <c r="D271" i="1"/>
  <c r="E271" i="1" s="1"/>
  <c r="D273" i="1"/>
  <c r="E273" i="1" s="1"/>
  <c r="D275" i="1"/>
  <c r="E275" i="1" s="1"/>
  <c r="D252" i="1"/>
  <c r="E252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D31" i="1"/>
  <c r="E31" i="1" s="1"/>
  <c r="D32" i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D49" i="1"/>
  <c r="D50" i="1"/>
  <c r="E50" i="1" s="1"/>
  <c r="D51" i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D115" i="1"/>
  <c r="D116" i="1"/>
  <c r="E116" i="1" s="1"/>
  <c r="D117" i="1"/>
  <c r="E117" i="1" s="1"/>
  <c r="D118" i="1"/>
  <c r="E118" i="1" s="1"/>
  <c r="D119" i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D139" i="1"/>
  <c r="E139" i="1" s="1"/>
  <c r="D140" i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D173" i="1"/>
  <c r="E173" i="1" s="1"/>
  <c r="D174" i="1"/>
  <c r="E174" i="1" s="1"/>
  <c r="D176" i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8" i="1"/>
  <c r="E208" i="1" s="1"/>
  <c r="D210" i="1"/>
  <c r="E210" i="1" s="1"/>
  <c r="D212" i="1"/>
  <c r="E212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5" i="1"/>
  <c r="E235" i="1" s="1"/>
  <c r="D236" i="1"/>
  <c r="E236" i="1" s="1"/>
  <c r="D238" i="1"/>
  <c r="E238" i="1" s="1"/>
  <c r="D239" i="1"/>
  <c r="E239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15" i="1"/>
  <c r="E15" i="1" s="1"/>
  <c r="C26" i="2" l="1"/>
</calcChain>
</file>

<file path=xl/sharedStrings.xml><?xml version="1.0" encoding="utf-8"?>
<sst xmlns="http://schemas.openxmlformats.org/spreadsheetml/2006/main" count="1451" uniqueCount="1179">
  <si>
    <t xml:space="preserve"> </t>
  </si>
  <si>
    <t>Internación y Servicio de Guardia</t>
  </si>
  <si>
    <t>Codigo</t>
  </si>
  <si>
    <t>Prestación</t>
  </si>
  <si>
    <t>Módulos Clínicos / Quirúrgicos</t>
  </si>
  <si>
    <t>Día Clínico Gral. Adulto hab compartida</t>
  </si>
  <si>
    <t>Adicional habitacion Individual por Día</t>
  </si>
  <si>
    <t>Día UTI Adultos s/ ARM</t>
  </si>
  <si>
    <t>Día ARM - Uti adultos (adicional)</t>
  </si>
  <si>
    <t>Día UCO s/ ARM</t>
  </si>
  <si>
    <t>Día ARM - UCO adultos (adicional)</t>
  </si>
  <si>
    <t>Internacion breve o recuperacion anestesica hasta 6 hs</t>
  </si>
  <si>
    <t>Internacion breve o recuperacion anestesica hasta 12 hs</t>
  </si>
  <si>
    <t>Intern. en Observ. por Dolor PrecorDíal – Unidad del Dolor</t>
  </si>
  <si>
    <t>Hospital de Día para pasaje de medicacion (hasta 3 horas)</t>
  </si>
  <si>
    <t>Hospital de Día para pasaje de medicacion (hasta 6 horas)</t>
  </si>
  <si>
    <t xml:space="preserve">Interconsulta Especializada en Internacion  (excluye oftalmologia y psiquiatria) </t>
  </si>
  <si>
    <t>Seguimiento de especialista en internacion</t>
  </si>
  <si>
    <t>Interconsulta kinesiologia primera vez</t>
  </si>
  <si>
    <t>Módulos Quirúrgicos</t>
  </si>
  <si>
    <t>Según Anexo adjunto</t>
  </si>
  <si>
    <t>Honorarios de anestesiología</t>
  </si>
  <si>
    <t>Módulos Ginecológicos</t>
  </si>
  <si>
    <t>Cirug. Ginecológica Laparoscópica Díagnóstica</t>
  </si>
  <si>
    <t>Cirug. Ginecológica Laparoscópica de ovario</t>
  </si>
  <si>
    <t>Cirug. Ginecológica Laparoscópica Histerectomía</t>
  </si>
  <si>
    <t>Histeroscopia Díagnostica</t>
  </si>
  <si>
    <t>Histeroscopia terapeutica</t>
  </si>
  <si>
    <t>Conizacion con asa de Leep</t>
  </si>
  <si>
    <t>Módulos videotoracoscopia (VATS)</t>
  </si>
  <si>
    <t>Videotoracoscopia Díagnóstica</t>
  </si>
  <si>
    <t>Sellamiento pleural</t>
  </si>
  <si>
    <t>Biopsia de pulmón, pleura y/o meDíastino</t>
  </si>
  <si>
    <t>Decorticación pulmonar</t>
  </si>
  <si>
    <t>Operaciones en meDíastino: adenopatias, tumor, etc.</t>
  </si>
  <si>
    <t>Ventana pleuropericárdica</t>
  </si>
  <si>
    <t>Op.en pulmón: resec.segmentarias, segmentectomia</t>
  </si>
  <si>
    <t>Cirugía Oncológica torácica: ver descripción en módulo</t>
  </si>
  <si>
    <t>Módulos Cirugía Cardiovascular - Adultos</t>
  </si>
  <si>
    <t>CCV Simple (sin bomba)</t>
  </si>
  <si>
    <t>CCV Complejo (con bomba)</t>
  </si>
  <si>
    <t>Otros procedimientos cardiovasculares</t>
  </si>
  <si>
    <t>Unidad de trombosis venosa profunda</t>
  </si>
  <si>
    <t>presupuesto</t>
  </si>
  <si>
    <t>Colocacion de implantables venosos percutaneos</t>
  </si>
  <si>
    <t>Colocación Vía Central (excluye cateter)</t>
  </si>
  <si>
    <t>Colocacion cateter semipermanente (excluye cateter)</t>
  </si>
  <si>
    <t>Extraccion cateter semipermanente</t>
  </si>
  <si>
    <t>Colocacion cateter para Díalisis en quirofano (excluye cateter)</t>
  </si>
  <si>
    <t>Angioplastía Transluminal Coronaria Simple</t>
  </si>
  <si>
    <t>Angioplastía Transluminal Coronaria Compleja</t>
  </si>
  <si>
    <t>Angioplastía Transluminal Periférica o Renal</t>
  </si>
  <si>
    <t>Stent Coronario Convencional</t>
  </si>
  <si>
    <t>Stent Coronario Liberador de drogas</t>
  </si>
  <si>
    <t>Estudios Hemodinamicos Simples</t>
  </si>
  <si>
    <t>Estudios Hemodinamicos Complejos</t>
  </si>
  <si>
    <t>Colocación Balón de Contrapulsación</t>
  </si>
  <si>
    <t>Colocación Catéter de Swan Ganz</t>
  </si>
  <si>
    <t>Electrofisiología</t>
  </si>
  <si>
    <t>Colocación de Marcapaso Definitivo Unicameral</t>
  </si>
  <si>
    <t>Colocación de Marcapaso Definitivo Bicameral</t>
  </si>
  <si>
    <t>Cambio de Generador de Marcapaso</t>
  </si>
  <si>
    <t>Colocacion de Marcapaso transitorio</t>
  </si>
  <si>
    <t>Ablación de Arritmias</t>
  </si>
  <si>
    <t>Módulos de Neurocirugía</t>
  </si>
  <si>
    <t>MODULO NEUROCIRUGIA A1</t>
  </si>
  <si>
    <t>MODULO NEUROCIRUGIA A2</t>
  </si>
  <si>
    <t>MODULO NEUROCIRUGIA A3</t>
  </si>
  <si>
    <t>MODULO NEUROCIRUGIA B1</t>
  </si>
  <si>
    <t>MODULO NEUROCIRUGIA B2</t>
  </si>
  <si>
    <t>MODULO NEUROCIRUGIA C</t>
  </si>
  <si>
    <t>MODULO NEUROCIRUGIA D1</t>
  </si>
  <si>
    <t>MODULO NEUROCIRUGIA D2</t>
  </si>
  <si>
    <t>HORA EXCEDENTE QX</t>
  </si>
  <si>
    <t>USO MICROSCOPIO</t>
  </si>
  <si>
    <t>Módulos de Neurocirugía con equipo de patología especializada</t>
  </si>
  <si>
    <t>Tratamiento del dolor</t>
  </si>
  <si>
    <t>NO</t>
  </si>
  <si>
    <t xml:space="preserve">Bloqueo sacroiliaco unilateral sin corticoterapia </t>
  </si>
  <si>
    <t>Bloqueo sacroiliaco unilateral con corticoterapia</t>
  </si>
  <si>
    <t>Bloqueo sacroiliaco bilateral sin corticoterapia</t>
  </si>
  <si>
    <t xml:space="preserve">Bloqueo sacroiliaco bilateral con corticoterapia </t>
  </si>
  <si>
    <t>Bloqueo facetario unilateral o hasta 2 niveles sin corticoterapia</t>
  </si>
  <si>
    <t>Bloqueo facetario unilateral o hasta 2 niveles con corticoterapia</t>
  </si>
  <si>
    <t>Bloqueo facetario bilateral o más de 2 niveles sin corticoterapia</t>
  </si>
  <si>
    <t>Bloqueo facetario bilateral o más de 2 niveles con corticoterapia</t>
  </si>
  <si>
    <t>Bloqueo radicular hasta 1 nivel sin corticoterapia</t>
  </si>
  <si>
    <t>Bloqueo radicular hasta 1 nivel con corticoterapia</t>
  </si>
  <si>
    <t>Bloqueo radicular 2 o más niveles sin corticoterapia</t>
  </si>
  <si>
    <t xml:space="preserve">Bloqueo radicular 2 o más niveles con corticoterapia </t>
  </si>
  <si>
    <t>Bloqueo intraarticular uni o bilateral sin corticoterapia</t>
  </si>
  <si>
    <t>Bloqueo intraarticular uni o bilateral con corticoterapia</t>
  </si>
  <si>
    <t xml:space="preserve">Discografía única o múltiple </t>
  </si>
  <si>
    <t>Lisis de adherencia. Primer tiempo: Colocación de catéter + epidurografia + primer dosis de lisis</t>
  </si>
  <si>
    <t xml:space="preserve">Lisis de adherencia. Segundo tiempo: segunda lisis de adherencia </t>
  </si>
  <si>
    <t xml:space="preserve">Lisis de adherencia. Tercer tiempo: tercer lisis de adherencia </t>
  </si>
  <si>
    <t xml:space="preserve">Ablación por radiofrecuencia de ramo medio  </t>
  </si>
  <si>
    <t xml:space="preserve">Termolesion intradiscal por radiofrecuencia   </t>
  </si>
  <si>
    <t>Modulos de Procedimientos Neuroendovasculares</t>
  </si>
  <si>
    <t>Ver Anexo</t>
  </si>
  <si>
    <t>Módulos de ORL</t>
  </si>
  <si>
    <t>Cirugia Endoscopica Rinosinusal unilateral</t>
  </si>
  <si>
    <t>Cirugia Endoscopica Rinosinusal bilateral</t>
  </si>
  <si>
    <t>NN</t>
  </si>
  <si>
    <t>Practicas ORL (NN x )</t>
  </si>
  <si>
    <t>Módulos de Hemoterapia</t>
  </si>
  <si>
    <t>Transf. sangre y/ o glóbulos rojos sedimentados x unidad</t>
  </si>
  <si>
    <t>Transfusión de plasma x unidad</t>
  </si>
  <si>
    <t>Plaquetas de banco (de donantes múltiples) x unidad</t>
  </si>
  <si>
    <t>Crioprecipitados x unidad</t>
  </si>
  <si>
    <t>Plasmaferesis</t>
  </si>
  <si>
    <t>Plaquetoferesis</t>
  </si>
  <si>
    <t>Leucoferesis</t>
  </si>
  <si>
    <t>Irradíacion de sangre o hemoderivados</t>
  </si>
  <si>
    <t>Sangria terapeutica</t>
  </si>
  <si>
    <t>Sangre Autóloga de predepósito (por unidad)</t>
  </si>
  <si>
    <t>Módulos Cirugía Gral. por vía Laparoscópica</t>
  </si>
  <si>
    <t>Hernioplastía Laparoscópica Unilateral</t>
  </si>
  <si>
    <t>Hernioplastía Laparoscópica Bilateral</t>
  </si>
  <si>
    <t>Colecistectomía Laparoscópica</t>
  </si>
  <si>
    <t>Apendicectomía Laparoscópica</t>
  </si>
  <si>
    <t>Hemicolectomia laparoscopica</t>
  </si>
  <si>
    <t>Modulos de Cirugia Bariatrica</t>
  </si>
  <si>
    <t>Según anexo adjunto</t>
  </si>
  <si>
    <t>Módulos de Hemodiálisis</t>
  </si>
  <si>
    <t>Aguda en internación (por sesión)</t>
  </si>
  <si>
    <t>Módulos de Urología</t>
  </si>
  <si>
    <t>Ureteroscopia Díagnostica</t>
  </si>
  <si>
    <t>Ureterorrenoscopia terapeutica</t>
  </si>
  <si>
    <t>Litotricia Renal Percutanea</t>
  </si>
  <si>
    <t>Endopielotomia Percutanea</t>
  </si>
  <si>
    <t>Litotricia vesical endoscopica</t>
  </si>
  <si>
    <t>Litotricia vesical percutanea</t>
  </si>
  <si>
    <t>Nefrostomia percutanea</t>
  </si>
  <si>
    <t>Colocacion Cateter Doble Jota</t>
  </si>
  <si>
    <t>Extraccion Cateter Doble Jota</t>
  </si>
  <si>
    <t>Módulos de Gastroenterología</t>
  </si>
  <si>
    <t>Extracción cálculos coledoc. Intra colecistectomía laparos.</t>
  </si>
  <si>
    <t>Videodeglucion</t>
  </si>
  <si>
    <t>Colangio. Retrog.  con o sin papilotomía (litiasis simple)</t>
  </si>
  <si>
    <t>Colangio. Retrog.  Con/sin papilotomía (cálculos gigantes)</t>
  </si>
  <si>
    <t>Colangio. Retrog.  Con/sin papilot. y colocación prótesis</t>
  </si>
  <si>
    <t>Módulos Percutáneos</t>
  </si>
  <si>
    <t>Gastrostomia Percutanea</t>
  </si>
  <si>
    <t>Gastroyeyunostomia pecutanea</t>
  </si>
  <si>
    <t>Drenaje percutaneo de via biliar interno y/o externo</t>
  </si>
  <si>
    <t>Dilatacion de estenosis biliares benignas</t>
  </si>
  <si>
    <t>Colocacion de stent biliar</t>
  </si>
  <si>
    <t>Colocacion de stent esofagico</t>
  </si>
  <si>
    <t>Drenaje percutaneo de colecciones</t>
  </si>
  <si>
    <t>Colecistostomia percutanea</t>
  </si>
  <si>
    <t>Recambio de boton de gastrostomia</t>
  </si>
  <si>
    <t>Módulos Infectología (adicional al Módulo Clínico / UTI / UCO y Módulo Quirúrgico)</t>
  </si>
  <si>
    <t>Infectocontagiosos y/o inmunodeprimidos (piso) en habitacion individual</t>
  </si>
  <si>
    <t>Infectocontagiosos y/o inmunodeprimidos (UTI/UCO)</t>
  </si>
  <si>
    <t>Infectocontagiosos y/o inmunodeprimidos por acto Quirurgico</t>
  </si>
  <si>
    <t>Adicional Aislamiento de contacto en Piso</t>
  </si>
  <si>
    <t>Adicional aislamiento de contacto en Circuito Cerrado</t>
  </si>
  <si>
    <t>Módulo Artroscopía</t>
  </si>
  <si>
    <t>Simple (habitación compartida)</t>
  </si>
  <si>
    <t>Compleja (habitación compartida)</t>
  </si>
  <si>
    <t>Prácticas en internacion</t>
  </si>
  <si>
    <t>Modulo</t>
  </si>
  <si>
    <t>PMO</t>
  </si>
  <si>
    <t xml:space="preserve">Centellograma </t>
  </si>
  <si>
    <t>Spect por region</t>
  </si>
  <si>
    <t>Radiorrenograma simple</t>
  </si>
  <si>
    <t>Determinación del flujo plasmático efectivo renal</t>
  </si>
  <si>
    <t>Determinación del filtrado glomerular</t>
  </si>
  <si>
    <t>Perfusion Miocárdica Reposo / Esfuerzo</t>
  </si>
  <si>
    <t>Ventriculocardiograma o Radiocardiograma</t>
  </si>
  <si>
    <t xml:space="preserve">Linfografia radioisotopica </t>
  </si>
  <si>
    <t xml:space="preserve">Angiografia Radioisotopica por area.                                                                             </t>
  </si>
  <si>
    <t>Salivograma</t>
  </si>
  <si>
    <t>Transito gastro - esofágico</t>
  </si>
  <si>
    <t>Detección de Divertículo de Meckel</t>
  </si>
  <si>
    <t>Vaciamiento gástrico</t>
  </si>
  <si>
    <t>Determinación de Reflujo gastro-esofagico con scan de pulmonar de 24 hs.</t>
  </si>
  <si>
    <t>Determinación de Hemorragia digestiva</t>
  </si>
  <si>
    <t>Curva de captación de I-131</t>
  </si>
  <si>
    <t>Dosis ablativa para carcinoma de tiroides</t>
  </si>
  <si>
    <t>Rastreo corporal total</t>
  </si>
  <si>
    <t>900552/900553</t>
  </si>
  <si>
    <t>Cistografia radioisotopica Directa / Indirecta</t>
  </si>
  <si>
    <t>Flebografia radioisotopica de miembros superiores</t>
  </si>
  <si>
    <t>Dacriocentellografia o centellografia de glândulas lagrimales</t>
  </si>
  <si>
    <t>Marcacion de osteoma osteoide pré quirurgica para exceresis quirurgica</t>
  </si>
  <si>
    <t>Cisternografia radioisotopica</t>
  </si>
  <si>
    <t>Detecciòn de shunt derecha-izquierda</t>
  </si>
  <si>
    <t>Deteccion de muerte cerebral</t>
  </si>
  <si>
    <t>Evaluacion de flujo transplante renal</t>
  </si>
  <si>
    <t>Deteccion de viabilidad de injerto</t>
  </si>
  <si>
    <t>Deteccion de Helicobacter Pyllori, test de aliento</t>
  </si>
  <si>
    <t xml:space="preserve">MEDICACION SEGÚN LISTA ADDECRA / CEDIM </t>
  </si>
  <si>
    <t>Adecra / Cedim</t>
  </si>
  <si>
    <t>Cardiología</t>
  </si>
  <si>
    <t>Holter de 3 canales</t>
  </si>
  <si>
    <t>Urología</t>
  </si>
  <si>
    <t>Uretrocistofibroscopia</t>
  </si>
  <si>
    <t>Neumonologia</t>
  </si>
  <si>
    <t>Fibrobroncoscopia</t>
  </si>
  <si>
    <t>Gastroenterología</t>
  </si>
  <si>
    <t>Videogastroscopía Díagnóstica</t>
  </si>
  <si>
    <t>Videogastroscopia Díagnóstica con biopsia</t>
  </si>
  <si>
    <t>Videocolonoscopia Díagnóstica</t>
  </si>
  <si>
    <t>Videocolonoscopia Díagnóstica con biopsia</t>
  </si>
  <si>
    <t>Videogastroscopia para colocacion de sonda nasogastrica</t>
  </si>
  <si>
    <t>Esclerosis de varices esofágicas</t>
  </si>
  <si>
    <t>Tratamiento de varices esofágicas con Banding (no incluye banding)</t>
  </si>
  <si>
    <t>Extracción de cuerpo extraño</t>
  </si>
  <si>
    <t>Dilatación esofágica sin balón</t>
  </si>
  <si>
    <t>Dilatación esofágica con balón</t>
  </si>
  <si>
    <t>Polipectomía</t>
  </si>
  <si>
    <t>Mucosectomia</t>
  </si>
  <si>
    <t>Ecografías (Adultos)</t>
  </si>
  <si>
    <t>Ecografias nomencladas (NN x )</t>
  </si>
  <si>
    <t>Transvaginal</t>
  </si>
  <si>
    <t>Prostática transrectal</t>
  </si>
  <si>
    <t>De partes blandas y esqueléticas</t>
  </si>
  <si>
    <t>De cuello</t>
  </si>
  <si>
    <t>Ecocardiograma Transesofágico</t>
  </si>
  <si>
    <t>Punción biopsia bajo control ecográfico mamaria, tiroidea, partes blandas y prostática.</t>
  </si>
  <si>
    <t>Ecodoppler</t>
  </si>
  <si>
    <t>Color (todas las regiones)</t>
  </si>
  <si>
    <t>Ecodoppler Color Infantil</t>
  </si>
  <si>
    <t>Practicas</t>
  </si>
  <si>
    <t>Kinesiologia por sesion</t>
  </si>
  <si>
    <t>Radiologia contrastada (NN x )</t>
  </si>
  <si>
    <t xml:space="preserve">Nuevas Practicas Incorporadas </t>
  </si>
  <si>
    <t>Espinograma</t>
  </si>
  <si>
    <t>Doppler Strain</t>
  </si>
  <si>
    <t>Video deglución</t>
  </si>
  <si>
    <t>Ecocardiograma transesofágico</t>
  </si>
  <si>
    <t>Ecocardiograma transesofágico intraquirúrgico</t>
  </si>
  <si>
    <t>Resonancia cardíaca</t>
  </si>
  <si>
    <t>Doppler paso de burbuja</t>
  </si>
  <si>
    <t>Resonancia Magnética Nuclear en internacion</t>
  </si>
  <si>
    <t>Prácticas Comunes</t>
  </si>
  <si>
    <t>Por región</t>
  </si>
  <si>
    <t>Kairos 100%</t>
  </si>
  <si>
    <t>Más por gadolinio, de utilizarse, más material descartable</t>
  </si>
  <si>
    <t xml:space="preserve">Prácticas Especiales </t>
  </si>
  <si>
    <t>Artroresonancia</t>
  </si>
  <si>
    <t>Presupuesto</t>
  </si>
  <si>
    <t>RMN Cardíaca</t>
  </si>
  <si>
    <t>Espectroscopia</t>
  </si>
  <si>
    <t>RMN de Mama</t>
  </si>
  <si>
    <t>Otras RMN especiales</t>
  </si>
  <si>
    <t>Patología Cortical</t>
  </si>
  <si>
    <t>Difusión</t>
  </si>
  <si>
    <t>Angioresonancia</t>
  </si>
  <si>
    <t>Una región –sin gadolinio</t>
  </si>
  <si>
    <t>Angioresonancia  c/ Contraste (incluye Gadolinio y material descartable)</t>
  </si>
  <si>
    <t>Grandes vasos Ej: aorta abdominal, arteria pulmonar etc.</t>
  </si>
  <si>
    <t>Colangiorresonancia</t>
  </si>
  <si>
    <t>Una región</t>
  </si>
  <si>
    <t>Uroresonancia</t>
  </si>
  <si>
    <t>Adicional Anestesia (de requerirse)</t>
  </si>
  <si>
    <t>Honorarios, gastos y material descartable</t>
  </si>
  <si>
    <t>Por consumo efectivo:</t>
  </si>
  <si>
    <t>Medicamentos</t>
  </si>
  <si>
    <t>MÓDULO URGENCIAS</t>
  </si>
  <si>
    <t>Nocturnas de lunes a viernes de 21 a 07 hrs.</t>
  </si>
  <si>
    <t>Sábado de 14 a 24 hrs.</t>
  </si>
  <si>
    <t>Domingos y feriados las 24 hrs.</t>
  </si>
  <si>
    <t>Tomografia MultiSlice</t>
  </si>
  <si>
    <t>TAC cerebral</t>
  </si>
  <si>
    <t>TAC cerebral con contraste (excluye contraste)</t>
  </si>
  <si>
    <t>TAC completa de abdomen</t>
  </si>
  <si>
    <t>TAC completa de pelvis</t>
  </si>
  <si>
    <t>TAC torácica</t>
  </si>
  <si>
    <t>TAC de otros órganos y regiones</t>
  </si>
  <si>
    <t>TAC de columna lumbar</t>
  </si>
  <si>
    <t>TAC de columna dorsal</t>
  </si>
  <si>
    <t>TAC de columna cervical</t>
  </si>
  <si>
    <t>Urotomografia</t>
  </si>
  <si>
    <r>
      <rPr>
        <sz val="10"/>
        <color rgb="FF000000"/>
        <rFont val="Verdana"/>
        <family val="2"/>
      </rPr>
      <t xml:space="preserve">TAC dinámica de tres fases con contraste (excluye contraste)
</t>
    </r>
    <r>
      <rPr>
        <sz val="10"/>
        <color rgb="FF000000"/>
        <rFont val="Calibri"/>
        <family val="2"/>
      </rPr>
      <t>(páncreas, hígado, esplénica, hepato biliar, renal, suprarrenal)</t>
    </r>
  </si>
  <si>
    <t>TAC alta resolución de peñascos, oido interno</t>
  </si>
  <si>
    <t>TAC alta resolución de parenquima pulmonar</t>
  </si>
  <si>
    <t>Screening de tórax</t>
  </si>
  <si>
    <t>TAC osteoarticular 3D con o sin supresión metálica (x región)</t>
  </si>
  <si>
    <t>Contraste</t>
  </si>
  <si>
    <t>Angiotomografías</t>
  </si>
  <si>
    <t>Angiotomografía torácica</t>
  </si>
  <si>
    <t>Angiotomografía abdominal</t>
  </si>
  <si>
    <t>Angiotomografía pélvica</t>
  </si>
  <si>
    <t>Angiotomografía de vasos pulmonares</t>
  </si>
  <si>
    <t>Angiotomografía de miembros inferiores</t>
  </si>
  <si>
    <t>Angiotomografía de miembros superiores</t>
  </si>
  <si>
    <t>Angiotomografía de cuello</t>
  </si>
  <si>
    <t>Angiotomografía de cerebro</t>
  </si>
  <si>
    <t>Angiotomografía de otros órganos</t>
  </si>
  <si>
    <t>Angiotomografía de cuerpo entero</t>
  </si>
  <si>
    <t>Angiotomografía para TAVI</t>
  </si>
  <si>
    <t>Angiotomografía Cardiaca</t>
  </si>
  <si>
    <t>Angiotomografía Coronaria</t>
  </si>
  <si>
    <t>Triple rule out</t>
  </si>
  <si>
    <t>Score de riesgo cálcico coronario</t>
  </si>
  <si>
    <t>Guardia Médica</t>
  </si>
  <si>
    <t>Servicio de Guardia</t>
  </si>
  <si>
    <t>Consulta Guardia Diurnas</t>
  </si>
  <si>
    <t>Consulta de Guardia Nocturna /Sábado/Domingo/ Feriado (20 hrs. a 08 hrs.)</t>
  </si>
  <si>
    <t>Laboratorio Nomenclado ( NBU x )</t>
  </si>
  <si>
    <t>Radiología (NN x )</t>
  </si>
  <si>
    <t>Ecografías Nomencladas (NN x )</t>
  </si>
  <si>
    <t>EcografiaTransvaginal</t>
  </si>
  <si>
    <t>Ecografia De partes blandas y esqueléticas</t>
  </si>
  <si>
    <t>Electrocardiograma</t>
  </si>
  <si>
    <t>Galeno Quirurgico</t>
  </si>
  <si>
    <t>Unidad de Otros Gastos</t>
  </si>
  <si>
    <t>Material Descartable</t>
  </si>
  <si>
    <t>Valores de mercado</t>
  </si>
  <si>
    <t>Yeso menor (hasta 20 US gasto operatorio)</t>
  </si>
  <si>
    <t>Yeso mediano (de 21 a 50 US gasto operatorio)</t>
  </si>
  <si>
    <t>Yeso mayor (mas de 51 US gasto operatorio)</t>
  </si>
  <si>
    <t>Sutura Simple (sintesis de herida, cura plana)</t>
  </si>
  <si>
    <t>Sutura Mediana (cierre plastico de herida)</t>
  </si>
  <si>
    <t>Sutura Compleja (cierre plastico de herida con colgajo de avance)</t>
  </si>
  <si>
    <t>Extraccion de puntos de sutura</t>
  </si>
  <si>
    <t>Infiltraciones</t>
  </si>
  <si>
    <t>Diagnóstico y Tratamiento Ambulatorio</t>
  </si>
  <si>
    <t>Consultorio Externo</t>
  </si>
  <si>
    <t>Consultas</t>
  </si>
  <si>
    <t>Modulo Seguimiento Ambulatorio COVID-19</t>
  </si>
  <si>
    <t>NBU</t>
  </si>
  <si>
    <t>Laboratorio (NBU x )</t>
  </si>
  <si>
    <t>Radiografias (NN x )</t>
  </si>
  <si>
    <t>Ecografías (NN x )</t>
  </si>
  <si>
    <t>Prácticas (NN x )</t>
  </si>
  <si>
    <t>Cardiologia</t>
  </si>
  <si>
    <t>Ergometría 12 derivaciones</t>
  </si>
  <si>
    <t>Presurometria</t>
  </si>
  <si>
    <t>Control de Marcapasos definitivo</t>
  </si>
  <si>
    <t>Control de Cardiodesfibrilador</t>
  </si>
  <si>
    <t>Tilt test</t>
  </si>
  <si>
    <t>Ecocardiograma stress farmacologico</t>
  </si>
  <si>
    <t>Ecodoppler color con analisis de strain miocardico</t>
  </si>
  <si>
    <t>Estudios por Imágenes</t>
  </si>
  <si>
    <t>Mamografía con magnificación unilateral</t>
  </si>
  <si>
    <t>Mamografía con magnificación bilateral</t>
  </si>
  <si>
    <t>Punción Mamaria con control mamográfico</t>
  </si>
  <si>
    <t>Densitometria</t>
  </si>
  <si>
    <t>Densitometría Ósea (una exposición)</t>
  </si>
  <si>
    <t>Densitometría Ósea (cuerpo entero)</t>
  </si>
  <si>
    <t>Ginecologia y Obstetricia</t>
  </si>
  <si>
    <t>Monitoreo Fetal</t>
  </si>
  <si>
    <t>Pap y Colposcopía</t>
  </si>
  <si>
    <t>Curso psicoprofilactico (hasta 6 clases)</t>
  </si>
  <si>
    <t>Topicaciones de cervix uterino</t>
  </si>
  <si>
    <t>Biopsia de cervix</t>
  </si>
  <si>
    <t>Toma de muestra. Cepillado endocervical</t>
  </si>
  <si>
    <t>Histerosalpingografia con prueba de COTTE</t>
  </si>
  <si>
    <t>Alergia</t>
  </si>
  <si>
    <t>Otorrinolaringologia</t>
  </si>
  <si>
    <t>Otomicroscopia</t>
  </si>
  <si>
    <t>Rinomanometria</t>
  </si>
  <si>
    <t>Fibronasolaringoscopia</t>
  </si>
  <si>
    <t>Rinofibroscopia</t>
  </si>
  <si>
    <t>Neurologia</t>
  </si>
  <si>
    <t>Electroencefalograma con activacion compleja</t>
  </si>
  <si>
    <t>Electromiograma con velocidad de conduccion</t>
  </si>
  <si>
    <t>Consulta protocolo de cefalea</t>
  </si>
  <si>
    <t>Potenciales evocados visuales</t>
  </si>
  <si>
    <t>Potenciales evocados auditivos</t>
  </si>
  <si>
    <t>Potenciales evocados somatosensitivos</t>
  </si>
  <si>
    <t>Dermatologia</t>
  </si>
  <si>
    <t>Escision local de lesion de piel</t>
  </si>
  <si>
    <t>Incision y drenaje de absceso superficial</t>
  </si>
  <si>
    <t>Destruccion de lesion de piel por electrocoagulacion o aplicación de sust quimicas (hasta 5 elementos)</t>
  </si>
  <si>
    <t>Destruccion de lesion de piel por electrocoagulacion o aplicación de sust quimicas (mas de 5 elementos)</t>
  </si>
  <si>
    <t>Biopsia de piel o tejido celular subcutaneo y/o muscular</t>
  </si>
  <si>
    <t>Espirometría computarizada con o sin broncodilatadores</t>
  </si>
  <si>
    <t>Espiromteria computarizada con filtro antibacteriano</t>
  </si>
  <si>
    <t>Módulo de Rehabilitación</t>
  </si>
  <si>
    <t>Fisioterapia por Sesion</t>
  </si>
  <si>
    <t>Magnetoterapia por sesion</t>
  </si>
  <si>
    <t>Laserterapia por sesion</t>
  </si>
  <si>
    <t>FKT + Laser + Magnetoterapia</t>
  </si>
  <si>
    <t>Medicina Nuclear–Camara Gamma Planar</t>
  </si>
  <si>
    <t>Centellograma</t>
  </si>
  <si>
    <t>Adecrra / Cedim 100%</t>
  </si>
  <si>
    <t>Estudio Urodinamico Completo</t>
  </si>
  <si>
    <t>Flujometria miccional</t>
  </si>
  <si>
    <t>Videogastroscopía diagnóstica</t>
  </si>
  <si>
    <t>Videogastroscopia diagnóstica con biopsia</t>
  </si>
  <si>
    <t>Videocolonoscopia diagnóstica</t>
  </si>
  <si>
    <t>Videocolonoscopia diagnóstica con biopsia</t>
  </si>
  <si>
    <t>Resonancia Magnética Nuclear</t>
  </si>
  <si>
    <t xml:space="preserve">Prácticas Especiales  </t>
  </si>
  <si>
    <t>Practicas especiales, ej : cardiaca, mama, espectroscopia, etc</t>
  </si>
  <si>
    <t>MODULOS ANESTESIA por medicación, gasto quirúrgico y honorarios. En caso de que los últimos vayan por la AAA, se facturará el 75% del valor del módulo en concepto de gasto y medicación</t>
  </si>
  <si>
    <t>Anestésico Cirugía Menor</t>
  </si>
  <si>
    <t>Anestésico Cirugía Mediana</t>
  </si>
  <si>
    <t>Anestésico Cirugía Mayor</t>
  </si>
  <si>
    <t>Anestésico Cirugía Especializada</t>
  </si>
  <si>
    <r>
      <rPr>
        <sz val="10"/>
        <color rgb="FF000000"/>
        <rFont val="Verdana"/>
        <family val="2"/>
      </rPr>
      <t xml:space="preserve">TAC dinámica de tres fases con contraste (excluye contraste)
</t>
    </r>
    <r>
      <rPr>
        <sz val="10"/>
        <color rgb="FF000000"/>
        <rFont val="Calibri"/>
        <family val="2"/>
      </rPr>
      <t>(páncreas, hígado, esplénica, hepato biliar, renal, suprarrenal)</t>
    </r>
  </si>
  <si>
    <t>Laboratorio no nomenclado NBU</t>
  </si>
  <si>
    <t>AC COLAGENOPATIAS AUTOINM</t>
  </si>
  <si>
    <t xml:space="preserve">AC ESP HLA CLASE I Y II  </t>
  </si>
  <si>
    <t xml:space="preserve">AC VIRUS CHIKUNGUNYA IGM </t>
  </si>
  <si>
    <t xml:space="preserve">AC. ANTI MOG             </t>
  </si>
  <si>
    <t xml:space="preserve">AC-ANTI 21 HIDROXILASA   </t>
  </si>
  <si>
    <t>AC-ANTI HISTOPLASMA CAPSU</t>
  </si>
  <si>
    <t xml:space="preserve">AC-ANTI RI               </t>
  </si>
  <si>
    <t>AC-ANTI TIROGLOBULINA SEN</t>
  </si>
  <si>
    <t>AC-ANTIGANGLIOSIDOS MAG(I</t>
  </si>
  <si>
    <t xml:space="preserve">ACIDO FENILACETICO       </t>
  </si>
  <si>
    <t xml:space="preserve">ACIDO FORMICO            </t>
  </si>
  <si>
    <t>ALFA 2 MACROGLOBULINA Dos</t>
  </si>
  <si>
    <t>AMINOACIDOS CUANTITATIVOS</t>
  </si>
  <si>
    <t>AMPLIFICACION 1Q - DELECI</t>
  </si>
  <si>
    <t xml:space="preserve">ANTICUERPOS ANTI ACTINA  </t>
  </si>
  <si>
    <t>ANTICUERPOS ANTI DESMOSOM</t>
  </si>
  <si>
    <t xml:space="preserve">ANTICUERPOS ANTI MICA    </t>
  </si>
  <si>
    <t xml:space="preserve">APO E                    </t>
  </si>
  <si>
    <t xml:space="preserve">BUFOTENINA URINARIA      </t>
  </si>
  <si>
    <t xml:space="preserve">CALRETICULINA            </t>
  </si>
  <si>
    <t xml:space="preserve">CARIOTIPO 50 METAFASES   </t>
  </si>
  <si>
    <t xml:space="preserve">CATECOLAMINAS PLASMAT.   </t>
  </si>
  <si>
    <t xml:space="preserve">CATECOLAMINAS URINARIAS  </t>
  </si>
  <si>
    <t xml:space="preserve">CHLAMYDIA EN ORINA       </t>
  </si>
  <si>
    <t>CITOMEGALOVIRUS TEST DE A</t>
  </si>
  <si>
    <t xml:space="preserve">CLORO EN ORINA DE 24 HS  </t>
  </si>
  <si>
    <t xml:space="preserve">COENZIMA Q10             </t>
  </si>
  <si>
    <t xml:space="preserve">Cuantificacion BCR-ABL   </t>
  </si>
  <si>
    <t xml:space="preserve">DD-FERRITINA-PCR  COVID  </t>
  </si>
  <si>
    <t xml:space="preserve">DELECION 1q. FISH        </t>
  </si>
  <si>
    <t xml:space="preserve">DENGUE Atg NS1           </t>
  </si>
  <si>
    <t xml:space="preserve">DETECCION DE LA DELECION </t>
  </si>
  <si>
    <t xml:space="preserve">DETECCION DE T(11;14)    </t>
  </si>
  <si>
    <t xml:space="preserve">DRVV+N              </t>
  </si>
  <si>
    <t xml:space="preserve">ESTUDIO t(14,16)         </t>
  </si>
  <si>
    <t xml:space="preserve">FACTOR V (INHIBICION)    </t>
  </si>
  <si>
    <t xml:space="preserve">FENILETILAMINA           </t>
  </si>
  <si>
    <t xml:space="preserve">FIBROSIS QUISTICA 70 MUT </t>
  </si>
  <si>
    <t xml:space="preserve">GEN ADAMTS 13            </t>
  </si>
  <si>
    <t>Por presupuesto</t>
  </si>
  <si>
    <t>GOTA GRUESA PARA PALUDISM</t>
  </si>
  <si>
    <t xml:space="preserve">HCV RESIST A ANTIVIRALES </t>
  </si>
  <si>
    <t>HELICOBACTER PILORY AG EN</t>
  </si>
  <si>
    <t xml:space="preserve">HEMOCROMATOSIS PANEL MUT </t>
  </si>
  <si>
    <t xml:space="preserve">HEMOCROMATOSIS TIPO 4    </t>
  </si>
  <si>
    <t>HEP B RESISTENCIA A ANTIV</t>
  </si>
  <si>
    <t>HEPATITIS B (GENOTIPIFICA</t>
  </si>
  <si>
    <t>HEPATITIS E  (HEV)  - IgM</t>
  </si>
  <si>
    <t xml:space="preserve">Herpes I y II IGM        </t>
  </si>
  <si>
    <t xml:space="preserve">HERPES SIMPLE I-II IgM   </t>
  </si>
  <si>
    <t xml:space="preserve">HEXOSANIMIDASA           </t>
  </si>
  <si>
    <t xml:space="preserve">HLA DP                   </t>
  </si>
  <si>
    <t xml:space="preserve">HOMA                     </t>
  </si>
  <si>
    <t xml:space="preserve">INFLUENZA B GENOMA       </t>
  </si>
  <si>
    <t xml:space="preserve">INHIBIDOR FACTOR VIII    </t>
  </si>
  <si>
    <t xml:space="preserve">INHIBINA A               </t>
  </si>
  <si>
    <t>LEVETIRACETAM (en sangre)</t>
  </si>
  <si>
    <t xml:space="preserve">LIPIDOS TOTALES          </t>
  </si>
  <si>
    <t xml:space="preserve">MASTOCITOSIS EOSINOFILIA </t>
  </si>
  <si>
    <t>METANEFRINAS TOTALES EN O</t>
  </si>
  <si>
    <t xml:space="preserve">NIQUEL EN SANGRE         </t>
  </si>
  <si>
    <t xml:space="preserve">PANEL DE MIOSITIS        </t>
  </si>
  <si>
    <t>PANEL DE SIND. NEURO.PARA</t>
  </si>
  <si>
    <t>PANEL ENCEFALITIS AUTOINM</t>
  </si>
  <si>
    <t xml:space="preserve">PANEL ONCONEURONALES     </t>
  </si>
  <si>
    <t xml:space="preserve">PARACETAMOL              </t>
  </si>
  <si>
    <t>PARAINFLUENZA ATg en secr</t>
  </si>
  <si>
    <t xml:space="preserve">PARVOVIRUS CARGA VIRAL   </t>
  </si>
  <si>
    <t xml:space="preserve">PNEUMOCISTI CARINII      </t>
  </si>
  <si>
    <t>PNEUMOCYSTIS CARINII (GEN</t>
  </si>
  <si>
    <t xml:space="preserve">PROTEINA C BIOLOGICA     </t>
  </si>
  <si>
    <t xml:space="preserve">PROTROMBINA 20209 C&gt;T    </t>
  </si>
  <si>
    <t>RECEPTORES P/PROGESTERONA</t>
  </si>
  <si>
    <t>REORD.  DEL GEN RB1- 13(Q</t>
  </si>
  <si>
    <t xml:space="preserve">REORDENAMIENTO P53       </t>
  </si>
  <si>
    <t>SARS-CoV-2 IgG(anti spike</t>
  </si>
  <si>
    <t>SEROLOGIA P FIEBRE AMARIL</t>
  </si>
  <si>
    <t xml:space="preserve">SOMATOSTATINA (IGFII)    </t>
  </si>
  <si>
    <t xml:space="preserve">SRY POR FISH             </t>
  </si>
  <si>
    <t xml:space="preserve">TEST DE TZANCK           </t>
  </si>
  <si>
    <t xml:space="preserve">TOPIRAMATO               </t>
  </si>
  <si>
    <t xml:space="preserve">TOXINA BOTULINICA EN MF  </t>
  </si>
  <si>
    <t xml:space="preserve">TRASLOCACION (14;20)     </t>
  </si>
  <si>
    <t xml:space="preserve">TRASLOCACION T (12;21)   </t>
  </si>
  <si>
    <t xml:space="preserve">TRASLOCACION T (8;21)    </t>
  </si>
  <si>
    <t xml:space="preserve">TRASLOCACION t(14;18)    </t>
  </si>
  <si>
    <t xml:space="preserve">TRASLOCACION T(411)      </t>
  </si>
  <si>
    <t xml:space="preserve">TRASLOCACION t(8,14)     </t>
  </si>
  <si>
    <t xml:space="preserve">VDRL CUANTITATIVA        </t>
  </si>
  <si>
    <t xml:space="preserve">VEGF                     </t>
  </si>
  <si>
    <t xml:space="preserve">VIRUELA SIMICA PCR       </t>
  </si>
  <si>
    <t xml:space="preserve">VITAMINA B2              </t>
  </si>
  <si>
    <t xml:space="preserve">VITAMINA C               </t>
  </si>
  <si>
    <t xml:space="preserve">VORICONASOL              </t>
  </si>
  <si>
    <t xml:space="preserve">ZIKA VIRUS IGG           </t>
  </si>
  <si>
    <t xml:space="preserve">ZIKA VIRUS IGM           </t>
  </si>
  <si>
    <t>PROCEDIMIENTOSENDOVASCULARES</t>
  </si>
  <si>
    <t>Inclusiones</t>
  </si>
  <si>
    <t>PROGRAMADO</t>
  </si>
  <si>
    <t>URGENCIA</t>
  </si>
  <si>
    <t>EMBOLIZACION ANEURISMAS CEREBRALES</t>
  </si>
  <si>
    <t>1 UTI + 1 PISO</t>
  </si>
  <si>
    <t>EMBOLIZACION DE MALFORMACION ARTERIOVENOSA (MAV) CEREBRALES O  MEDULARES</t>
  </si>
  <si>
    <t>2 UTI + 1 PISO</t>
  </si>
  <si>
    <t xml:space="preserve">TRATAMIENTO ENDOVASCULAR DEL ACV EN EVOLUCION  </t>
  </si>
  <si>
    <t>3 UTI + 1 PISO</t>
  </si>
  <si>
    <t>TROMBECTOMIA CEREBRAL</t>
  </si>
  <si>
    <t>4 UTI + 1 PISO</t>
  </si>
  <si>
    <t>ANGIOPLASTIA INTRACRANEANA EN ESPASMO ARTERIAL CEREBRAL</t>
  </si>
  <si>
    <t xml:space="preserve">1 UTI   </t>
  </si>
  <si>
    <t>EMBOLIZACION PRE QUIRURGICA DE TUMORES CEREBRALES</t>
  </si>
  <si>
    <t>ANGIOPLASTIAS DE ARTERIAS CERVICALES CON DESTINO CEREBRAL</t>
  </si>
  <si>
    <t>CEMENTACION PERCUTANEA DE VERTEBRAS (VERTEBROPLASTIA)</t>
  </si>
  <si>
    <t>DEVASCULARIZACION DE TUMORES DE PUNCION DIRECTA</t>
  </si>
  <si>
    <t>QUIMIOEMBOLIZACION</t>
  </si>
  <si>
    <t>ANGIOGRAFIA DIGITAL CEREBRAL</t>
  </si>
  <si>
    <t>SIN PENSION</t>
  </si>
  <si>
    <t>ANGIOGRAFIA DIGITAL VASOS DE CUELLO</t>
  </si>
  <si>
    <t>ANGIOGRAFIA DIGITAL VERTEBRAL MEDULAR</t>
  </si>
  <si>
    <t>Insumos</t>
  </si>
  <si>
    <t>Precio SanCol</t>
  </si>
  <si>
    <t>Catéter Guía</t>
  </si>
  <si>
    <t>Catéter de acceso distal</t>
  </si>
  <si>
    <t>Microcatéter</t>
  </si>
  <si>
    <t>Microguía</t>
  </si>
  <si>
    <t>Balón remodelling</t>
  </si>
  <si>
    <t>Microcoil</t>
  </si>
  <si>
    <t>Onix</t>
  </si>
  <si>
    <t>Stent retriever para trombectomía</t>
  </si>
  <si>
    <t>Microcatéter de flujo para malformaciones arterio venosas</t>
  </si>
  <si>
    <t>Microguía 0.008 para catéter de flujo</t>
  </si>
  <si>
    <t>Neuro stent celdas abiertas</t>
  </si>
  <si>
    <t>Cirugía bariátrica</t>
  </si>
  <si>
    <t xml:space="preserve">EVALUACION PRE y CONTROL POST CIRUGIA BARIATRICA </t>
  </si>
  <si>
    <t>DESCRIPCION</t>
  </si>
  <si>
    <t>Consulta Cirugía Bariátrica</t>
  </si>
  <si>
    <t>Por consulta, de acuerdo a requerimientos paciente y normativas de meses tratamiento previo a cirugia de cada Financiador</t>
  </si>
  <si>
    <t>Consulta Clínica Médica Bariátrica</t>
  </si>
  <si>
    <t>Consulta Psicología Bariátrica</t>
  </si>
  <si>
    <t>Consulta Nutrición Bariátrica</t>
  </si>
  <si>
    <t>MODULOS DE CIRUGIA BARIATRICAS</t>
  </si>
  <si>
    <t xml:space="preserve">Bypass Gástrico Laparoscópico </t>
  </si>
  <si>
    <t>INCLUYE: HM EQUIPO CX BARIATRICA, GASTOS QUIROFANO HASTA 3 HS, USO DE LAPAROSCOPIO, 1 DIA PENSION PISO.
EXCLUYE: REOPERACIONES, HM Y GASTOS ANESTESIA, OTRAS PRESTACIONES, MEDICAMENTOS Y DESCARTABLES EXCLUIDOS SERAN FACTURADOS SEGÚN CONVENIO *** PROCEDIMIENTOS A CIELO ABIERTO O CONVERTIDOS, RECARGO DEL 10%</t>
  </si>
  <si>
    <t xml:space="preserve">Manga gástrica (Gastrectomía) Laparoscópica </t>
  </si>
  <si>
    <t xml:space="preserve">Procedimientos de Revisión </t>
  </si>
  <si>
    <t>Hora de quirófano excedente (sin fraccionamiento)</t>
  </si>
  <si>
    <t>CODIGO</t>
  </si>
  <si>
    <t>PRESTACION</t>
  </si>
  <si>
    <t>ARANCEL</t>
  </si>
  <si>
    <t xml:space="preserve">NEFRECTOMIA TOTAL                       ESPECIAL B          </t>
  </si>
  <si>
    <t xml:space="preserve">NEFRECTOMIA PARCIAL.                    ESPECIAL E          </t>
  </si>
  <si>
    <t xml:space="preserve">NEFROURETERECTOMIA TOTAL CON CISTECTOMIAPARCIAL.            </t>
  </si>
  <si>
    <t xml:space="preserve">NEFROTOMIA, NEFROSTOMIA, NEFROPEXIA                         </t>
  </si>
  <si>
    <t xml:space="preserve">LUMBOTOMIAS EXPLORADORAS                                    </t>
  </si>
  <si>
    <t>TRATAMIENTO QUIRURGICO DE LA FISTULA LUMBAR CON RINON FUNCIO</t>
  </si>
  <si>
    <t xml:space="preserve">BIOPSIA RENAL PERCUTANEA. PIELOGRAFIA   PERCUTANEA.         </t>
  </si>
  <si>
    <t>PLASTIA DE LA URETERIOPIELICA, PIELOPLASTIA. PLASTIAS DE URE</t>
  </si>
  <si>
    <t xml:space="preserve">DERIVACIONES URETRALES A INTESTINO                          </t>
  </si>
  <si>
    <t xml:space="preserve">DERIVACIONES URETERALES.. A PORCIONES INTESTINALES AISLADAS </t>
  </si>
  <si>
    <t xml:space="preserve">URETERECTOMIA PARCIAL.                                      </t>
  </si>
  <si>
    <t xml:space="preserve">PIELOTOMIA..PIELOLITOTOMIA. URETEROTOMI ESPECIAL A          </t>
  </si>
  <si>
    <t xml:space="preserve">EXTRACCIONES DE CALCULOS URETRALES                          </t>
  </si>
  <si>
    <t>TRATAMIENTO QUIRURGICO DE LA FISTULA URETEROINTESTINAL CON O</t>
  </si>
  <si>
    <t>CISTECTOMIA TOTAL CON DERIVACION URETERAL Y ASA INTESTINAL E</t>
  </si>
  <si>
    <t>CISTECTOMIA TOTAL CON DERIVACION URETE- RAL A INTESTINO INSI</t>
  </si>
  <si>
    <t xml:space="preserve">CISTECTOMIA PARCIAL -DIVERTICULECTOMIA- RESECCION DE CUELLO </t>
  </si>
  <si>
    <t>CISTOPLASTIA -COLON O ILIOCISTOPLASTIA, AGRANDAMIENTO VESICA</t>
  </si>
  <si>
    <t xml:space="preserve">CISTOPLASTIA PARA LA EXTROFIA VESICAL                        </t>
  </si>
  <si>
    <t>TRATAMIENTO QUIRURGICO DE LA FISTULA VE-SICOINTESTINAL CON O</t>
  </si>
  <si>
    <t xml:space="preserve">TRATAMIENTO QUIRURGICO DE LA FISTULA VE-SICOCUTANEA.        </t>
  </si>
  <si>
    <t xml:space="preserve">CISTOTOMIA A CIEO ABIERTO.SUTURA VESICAL                    </t>
  </si>
  <si>
    <t>CISTOTOMIA POR PUNCION CON TROCAR,PUNCI-ON EVACUADORA VESICA</t>
  </si>
  <si>
    <t xml:space="preserve">RESECCION ENDOSCOPICA DE CUELLO VESICAL                     </t>
  </si>
  <si>
    <t xml:space="preserve">TRATAMIENTO DE LA INCONTINENCIA DE ORINAEN LA MUJER POR VIA </t>
  </si>
  <si>
    <t>TRATAMIENTO DE LA INCONTINENCIA DE LA O-RINA -VIA ABDOMINAL-</t>
  </si>
  <si>
    <t>TRATAMIENTO DE LA INCONTINENCIA DE LA O-RINA EN LA MUJER POR</t>
  </si>
  <si>
    <t xml:space="preserve">URETROPLASTIA.CORRECION DE FISTULAS                         </t>
  </si>
  <si>
    <t xml:space="preserve">URETROTOMIA EXTERNA.URETROTOMIA INTERNA MAYOR D             </t>
  </si>
  <si>
    <t xml:space="preserve">URETRORRAFIA                            MAYOR I             </t>
  </si>
  <si>
    <t xml:space="preserve">MEATOTOMIA.                                                 </t>
  </si>
  <si>
    <t>ELECTROCOAGULACION O RESECCION ENDOSCOPICA DE TUMORES URETRA</t>
  </si>
  <si>
    <t xml:space="preserve">PROSTATECTOMIA RADICAL.                                     </t>
  </si>
  <si>
    <t xml:space="preserve">ADENECTOMIA DE PROSTATA                 ESPECIAL C          </t>
  </si>
  <si>
    <t>RESECCION DE FIBROSIS Y CICATRICES DEL  CUELLO DE LA VEJIGA,</t>
  </si>
  <si>
    <t>RESECCION ENDOSCOPIA-TRANSURETRAL-DE PROSTATA,RESECCION ENDO</t>
  </si>
  <si>
    <t xml:space="preserve">VESICULECTOMIA UNI O BILATERAL                              </t>
  </si>
  <si>
    <t xml:space="preserve">PROSTATOMIA                                                 </t>
  </si>
  <si>
    <t xml:space="preserve">BIOPSIA PROSTATICA POR PUNCION.                             </t>
  </si>
  <si>
    <t xml:space="preserve">ORQUIDECTOMIA UNILAT.COMPL.C/VACIAM.    ESPECIAL B          </t>
  </si>
  <si>
    <t xml:space="preserve">ORQUIDECTOMIA SUB-ALBUGINEA BILATERAL.                      </t>
  </si>
  <si>
    <t xml:space="preserve">ORQUIDECTOMIA UNILATERAL.                                   </t>
  </si>
  <si>
    <t>ORQUIDOPEXIA UNILATERAL CON O SIN TRATA MIENTO DE HERNIA CON</t>
  </si>
  <si>
    <t>ORQUIDOPEXIA BILATERAL CON O SIN TRATA- MIENTO DE HERNIA CON</t>
  </si>
  <si>
    <t>TRATAMIENTO QUIRURGICO DEL HIDROCELE,VA RICOCELE,TORSION ,QU</t>
  </si>
  <si>
    <t xml:space="preserve">BIOPSIA DE TESTICULO.                                       </t>
  </si>
  <si>
    <t xml:space="preserve">ESCROTOPLASTIA.                                             </t>
  </si>
  <si>
    <t>DRENAJE DE ABSCESO TESTICULAR, ESCISION DE LESION LOCAL DE T</t>
  </si>
  <si>
    <t xml:space="preserve">PUNCION DE DERRAME ESCROTAL.                                </t>
  </si>
  <si>
    <t xml:space="preserve">EPIDIDIMECTOMIA BILATERAL.                                  </t>
  </si>
  <si>
    <t xml:space="preserve">EPIDIDIMECTOMIA UNILATERAL.                                 </t>
  </si>
  <si>
    <t xml:space="preserve">EPIDIDIMOVASOSTOMIA, ANASTOMOSIS DE CON-DUCTO DEFERENTE.    </t>
  </si>
  <si>
    <t xml:space="preserve">EPIDIDIMOTOMIA Y DRENAJE.                                   </t>
  </si>
  <si>
    <t xml:space="preserve">ANASTOMOSIS DEL CONDUCTO DEFERENTE.                         </t>
  </si>
  <si>
    <t xml:space="preserve">BIOPSIA DEL EPIDIDIMO.                                      </t>
  </si>
  <si>
    <t xml:space="preserve">VASECTOMIA LIGADURA DE CONDUCTO         MAYOR F             </t>
  </si>
  <si>
    <t xml:space="preserve">AMPUTACION RADICAL O PARCIAL DE PENE CONMAYOR I             </t>
  </si>
  <si>
    <t xml:space="preserve">AMPUTACION COMPLETA O PARCIAL DEL PENE.                     </t>
  </si>
  <si>
    <t xml:space="preserve">OPERACION PLASTICA DE PENE                                  </t>
  </si>
  <si>
    <t xml:space="preserve">ESCISION TOTAL DE LESION DE PENE.                           </t>
  </si>
  <si>
    <t xml:space="preserve">BIOPSIA DEL PENE.                                           </t>
  </si>
  <si>
    <t xml:space="preserve">CAVERNOSTOMIA, PUNCION DE CUERPOS CAVER-                    </t>
  </si>
  <si>
    <t xml:space="preserve">RESECCION DE ESCLEROSIS EN CUERPOS CAVERNOSOS.              </t>
  </si>
  <si>
    <t xml:space="preserve">SHUNT CAVERNO-ESPONJOSO O CAVERNO-SAFENO                    </t>
  </si>
  <si>
    <t xml:space="preserve">POSTIOPLASTIA. FIMOSIS                                      </t>
  </si>
  <si>
    <t xml:space="preserve">CIRCUNCISION.                                               </t>
  </si>
  <si>
    <t xml:space="preserve">INCISION DORSAL O LATERAL DEL PREPUCIO. FRENULOTOMIA.       </t>
  </si>
  <si>
    <t xml:space="preserve">DESCOMPRES,MEDIANO NIVEL TUNEL CARPIANO                     </t>
  </si>
  <si>
    <t xml:space="preserve">NEUROLISIS DE NERVIO PERIFERICO                             </t>
  </si>
  <si>
    <t>NEUROLISIS QUIMICA O BLOQUEO ANTIALGICO DE NERVIO PERIFERICO</t>
  </si>
  <si>
    <t xml:space="preserve">RESECC.CUNEIFORME OVARIOS.EXTIRPAC.     MAYOR I             </t>
  </si>
  <si>
    <t xml:space="preserve">LIGADURA DE TROMPAS                     MAYOR E             </t>
  </si>
  <si>
    <t xml:space="preserve">HISTERECTOMIA RADICAL.COLPOANEXOHISTERE-ESPECIAL A          </t>
  </si>
  <si>
    <t>EXENTERACION PELVIANA -OP.DE BRUSGWIG TOTAL,ANTERIOR O POSTE</t>
  </si>
  <si>
    <t xml:space="preserve">HISTERECTOMIA CON O SIN ANEXECTOMIA, PORESPECIAL B          </t>
  </si>
  <si>
    <t xml:space="preserve">MIOMECTOMIA UTERINA ABDOMINAL                               </t>
  </si>
  <si>
    <t xml:space="preserve">MIOMECTOMIA VAGINAL                     MAYOR D             </t>
  </si>
  <si>
    <t xml:space="preserve">HISTERORRAFIA FUERA DEL PARTO.          MAYOR F             </t>
  </si>
  <si>
    <t>AMPUTACION DE CUELLO -TRAQUELECTOMIA-.  TRAQUEOPLASTIA -FUER</t>
  </si>
  <si>
    <t xml:space="preserve">TRAQUELORRAFIA CERCAJE CUELLO UTERINO                       </t>
  </si>
  <si>
    <t xml:space="preserve">ESCISION LOCAL CUELLO ELECTROCOAGULACION                    </t>
  </si>
  <si>
    <t xml:space="preserve">COLOCACION-EXTRACCION DE DIU                                </t>
  </si>
  <si>
    <t xml:space="preserve">COLPORRAFIA ANT.O POST.C/S/AMP.CUELLO                       </t>
  </si>
  <si>
    <t xml:space="preserve">COLPORRAFIA POR HERIDA                                      </t>
  </si>
  <si>
    <t xml:space="preserve">COLPORRAFIA POSTERIOR CON RECONSTRUCCIONDEL ESFINTER ANAL   </t>
  </si>
  <si>
    <t xml:space="preserve">COLPOPEXIA POR VIA ABDOMINAL.           MAYOR I             </t>
  </si>
  <si>
    <t xml:space="preserve">COLPOPEXIA COMBINADA -POR VIA ABDOMINAL Y VAGINAL-.         </t>
  </si>
  <si>
    <t xml:space="preserve">COLPOTOMIA.VAGINOTOMIA DE DRENAJE       MAYOR D             </t>
  </si>
  <si>
    <t>VAGINISMO -OPERACION DE POZZI-RESECCION DE TABIQUE VAGINAL-.</t>
  </si>
  <si>
    <t>BIOPSIA DE VAGINA. PUNCION DE VAGINA. PUNCION DE FONDO DE SA</t>
  </si>
  <si>
    <t xml:space="preserve">VULVECTOMIA RADICAL                     MAYOR I             </t>
  </si>
  <si>
    <t xml:space="preserve">VULVECTOMIA SIMPLE.                                         </t>
  </si>
  <si>
    <t xml:space="preserve">ESCISION DE LABIOS MAYORES                                  </t>
  </si>
  <si>
    <t>HIMENOTOMIA. INCISION Y DRENAJE DE VULVA,GLANDULA DE BARTHOL</t>
  </si>
  <si>
    <t xml:space="preserve">EPISIORRAFIA, PERINEORRAFIA             MAYOR E             </t>
  </si>
  <si>
    <t xml:space="preserve">PERINEOPLASTIA, EPISIOPERINEOPLASTIA.                       </t>
  </si>
  <si>
    <t xml:space="preserve">COLUMNA CERVICAL, DORSAL O LUMBAR.                          </t>
  </si>
  <si>
    <t xml:space="preserve">ESTERNON, ESCAPULA, HUMERO, -EXCEPTO SU-PRACONDILEA- CUBITO </t>
  </si>
  <si>
    <t>PELVIS, FEMUR, TIBIA, PERONE, ASTRAGALO,CALCANEO, SUPRACONDI</t>
  </si>
  <si>
    <t xml:space="preserve">CLAVICULA, COSTILAS, ROTULA, METACARPIA-NOS O METATARSIANOS </t>
  </si>
  <si>
    <t>HUMERO, PELVIS, SACRO, FEMUR, TIBIA, TI-BIA Y PERONE, CUBITO</t>
  </si>
  <si>
    <t>CUBITO, RADIO,TERCIO INFERIOR, UNO O MASHUESOS DEL CARPO,PRI</t>
  </si>
  <si>
    <t xml:space="preserve">ESTERNON, COSTILLAS, CLAVICULA, ESCAPULAROTULA              </t>
  </si>
  <si>
    <t>METACARPIANO -EXCEPTO EL PRIMER METACAR-PIANO- O METATARCIAN</t>
  </si>
  <si>
    <t>VERTEBRAS,LAMINECTOMIA COMO UNICA OPERA-CION, SACRO, HEMIMAN</t>
  </si>
  <si>
    <t xml:space="preserve">COXAL, FEMUR, HUMERO.                                       </t>
  </si>
  <si>
    <t>ESTERNON, ESCAPULA, CUBITO, RADIO, CARPOTIBIA, PERONE, TARSO</t>
  </si>
  <si>
    <t>COSTILLA, CLAVICULA, METACARPIANO, META-TARSIANO, FALANGE, R</t>
  </si>
  <si>
    <t xml:space="preserve">PUNCION BIOPSIA DE VERTEBRA.                                </t>
  </si>
  <si>
    <t xml:space="preserve">PUNCION BIOPSIA DE CUALQUIER OTRO HUESO.                    </t>
  </si>
  <si>
    <t xml:space="preserve">ESCAPULA, HUMERO, ISQUION, ILION.                           </t>
  </si>
  <si>
    <t xml:space="preserve">COXAL, FEMUR, TIBIA, HUMERO, MAXILAR SU-PERIOR O INFERIOR.  </t>
  </si>
  <si>
    <t>CUBITO, RADIO, PERONE, CARPO -UNO O MAS HUESOS- ASTRAGALO Y/</t>
  </si>
  <si>
    <t xml:space="preserve">CLAVICULO,ROTULA,METATARSIANO O METACAR-PIANO, FALANGES -DE </t>
  </si>
  <si>
    <t xml:space="preserve">FEMUR, TIBIA, TIBIA Y PERONE.                               </t>
  </si>
  <si>
    <t>HUMERO, CUBITO Y/O RADIO, ASTRAGALO Y/O CALCANEO, OTROS HUES</t>
  </si>
  <si>
    <t xml:space="preserve">METACARPIANO, METATARSIANO, FALANGES -DEUNO MISMO DEDO-.    </t>
  </si>
  <si>
    <t xml:space="preserve">CLAVICULA.                                                  </t>
  </si>
  <si>
    <t xml:space="preserve">HUMERO.                                                     </t>
  </si>
  <si>
    <t xml:space="preserve">CUBITO, RADIO, CARPO, HUESOS DE LA CARA.                    </t>
  </si>
  <si>
    <t xml:space="preserve">METACARPIANO.                                               </t>
  </si>
  <si>
    <t xml:space="preserve">UNA O MAS FALANGES DE UN MISMO DEDO.                        </t>
  </si>
  <si>
    <t xml:space="preserve">FEMUR, TIBIA, PERONE.                                       </t>
  </si>
  <si>
    <t xml:space="preserve">ASTRAGALO, CALCANEOS, OTROS HUESOS DEL  TARSO.              </t>
  </si>
  <si>
    <t xml:space="preserve">METATARSIANO, UNA O MAS FALANGES DE UN  MISMO DEDO.         </t>
  </si>
  <si>
    <t xml:space="preserve">ARTROCENTESIS                                               </t>
  </si>
  <si>
    <t>SACRO-ILIACA,CONDRO-COSTAL, CONDRO-ESTERNAL, ESTERNO-CLAVICU</t>
  </si>
  <si>
    <t xml:space="preserve">HOMBRO, CADERA, RODILLA.                                    </t>
  </si>
  <si>
    <t xml:space="preserve">METACARPO O METATARSO-FALANGICA, INTER- FALANGICA           </t>
  </si>
  <si>
    <t xml:space="preserve">CADERA.                                                     </t>
  </si>
  <si>
    <t xml:space="preserve">RODILLA.                                                    </t>
  </si>
  <si>
    <t xml:space="preserve">HOMBRO, CODO, MUNECA, CUELLO DE PIE, TEMPORO-MAXILAR.       </t>
  </si>
  <si>
    <t xml:space="preserve">ESTERNO-CLAVICULAR, CARPO, TARSO, TARSO-METATARSIANO.       </t>
  </si>
  <si>
    <t>ACROMIO CLAVICULAR, METACARPO-FALANGICA,METATARSO-FALANGICA,</t>
  </si>
  <si>
    <t xml:space="preserve">COLUMNA CERVICAL, DORSAL O LUMBAR MENOS DE TRES VERTEBRAS.  </t>
  </si>
  <si>
    <t xml:space="preserve">COLUMNA CERVICAL, DORSAL O LUMBAR, CADE-RA, RODILLA -MAS DE </t>
  </si>
  <si>
    <t xml:space="preserve">HOMBRO, CODO.                                               </t>
  </si>
  <si>
    <t>ESTERNO-CLAVICULAR, MUNECA, TARSO-SIMPLETIBIOTARSIANA-, TARS</t>
  </si>
  <si>
    <t xml:space="preserve">DOBLE ASTRODESIS -CHOPART-SUBASTRAGALINA                    </t>
  </si>
  <si>
    <t>TRIPLE ASTRODESIS -TIBIOTARSIANA, CHOP- ART-SUBASTRAGALINA-.</t>
  </si>
  <si>
    <t xml:space="preserve">METACARPO-FALANGICA, METATARSO-FALANGICAINTERFALANGICA.     </t>
  </si>
  <si>
    <t>ESTERNO CLAVICULAR, ACROMIO-CLAVICULAR, CODO, MUNECA, CARPO,</t>
  </si>
  <si>
    <t xml:space="preserve">HOMBRO, CADERA, RODILLA, TEMPORO MAXILAR                    </t>
  </si>
  <si>
    <t xml:space="preserve">METACARPO O METATARSO-FALANGICA, INTERFALANGICA.            </t>
  </si>
  <si>
    <t>ESCISION O INCISION, BIOPSIA, DRENAJE O EXTRACCION DE DEPOSI</t>
  </si>
  <si>
    <t xml:space="preserve">CADERA, RODILLA.                                            </t>
  </si>
  <si>
    <t>CLAVICULA, CODO, HOMBRO, MUNECA, METACARPO, TOBILLO, TARSO Y</t>
  </si>
  <si>
    <t>METACARPO O METATARSO-FALANGICA -UNA O  MAS LUXACIONES DE UN</t>
  </si>
  <si>
    <t>CLAVICULA, HOMBRO, CODO, MUNECA, METACARPO, TOBILLO, TARSO Y</t>
  </si>
  <si>
    <t xml:space="preserve">METACARPO Y METATARSO-FALANGICA.                            </t>
  </si>
  <si>
    <t xml:space="preserve">MIECTOMIAS CON VACIAMIENTO DE CELDA MUS-CULAR               </t>
  </si>
  <si>
    <t xml:space="preserve">INCISION MUSCULOS.ESCISION LESION LOCAL                     </t>
  </si>
  <si>
    <t>EXPLORACION, DRENAJE, EXTRACCION INCISI-ON, ESCISION, BIOPSI</t>
  </si>
  <si>
    <t xml:space="preserve">TENORRAFIA TENDON FLEXOR.MU\ECA O DEDO                      </t>
  </si>
  <si>
    <t>TENOPLASTIA CON ALARGAMIENTO O ACORTAMI-ENTO O INJERTO O TRA</t>
  </si>
  <si>
    <t xml:space="preserve">TENORRAFIA TENDON EXTENSOR MU\ECA O DEDO                    </t>
  </si>
  <si>
    <t>REPARACION Y SUTURA -TENORRAFIA- DE OTROTENDON QUE NO SEA DE</t>
  </si>
  <si>
    <t>TRATAMIENTO DE LA SECUELA POR PARALISIS -POLIOMIELITIS-,SECC</t>
  </si>
  <si>
    <t xml:space="preserve">ESCISION GANGLION.                                          </t>
  </si>
  <si>
    <t xml:space="preserve">INTERESCAPULOTORACICA.                                      </t>
  </si>
  <si>
    <t xml:space="preserve">HOMBRO.                                                     </t>
  </si>
  <si>
    <t xml:space="preserve">BRAZO, CODO, ANTEBRAZO, MUNECA, MANO.                       </t>
  </si>
  <si>
    <t xml:space="preserve">INTERILEOABDOMINAL.                                         </t>
  </si>
  <si>
    <t xml:space="preserve">MUSLO O RODILLA.                                            </t>
  </si>
  <si>
    <t xml:space="preserve">PIE O PIERNA.                                               </t>
  </si>
  <si>
    <t xml:space="preserve">DEDO DE LA MANO.                                            </t>
  </si>
  <si>
    <t xml:space="preserve">DEDO DEL PIE.                                               </t>
  </si>
  <si>
    <t xml:space="preserve">DISCECTOMIA CERVICAL, DORSAL O LUMBAR.                      </t>
  </si>
  <si>
    <t xml:space="preserve">DISCECTOMIA CERVICAL, DORSAL O LUMBAR   CON ARTRODESIS.     </t>
  </si>
  <si>
    <t>TRATAMIENTO QUIRURGICO DE LA ELEVACION  CONGENITA DE ESCAPUL</t>
  </si>
  <si>
    <t>TENOTOMIAS Y/O FASCIOTOMIAS UNICAS O MULTIPLES PARA EL TRATA</t>
  </si>
  <si>
    <t>OPERACIONES EN EL HUECO SUPRACLAVICULAR POR SINDROME ESCALEN</t>
  </si>
  <si>
    <t>TRATAMIENTO QUIRURGICO DE LA LUXACION INVETERADA O RECIDIVAN</t>
  </si>
  <si>
    <t xml:space="preserve">APONEUROTIMIA -FASCIOTOMIA SUBCUTANEA-.                     </t>
  </si>
  <si>
    <t xml:space="preserve">APONEURECTOMIA PARCIAL O TOTAL.                             </t>
  </si>
  <si>
    <t xml:space="preserve">APONEURECTOMIA PARCIAL E INJERTO -INCLU-                    </t>
  </si>
  <si>
    <t xml:space="preserve">DE UN ESPACIO DIGITAL, SIN INJERTO.                         </t>
  </si>
  <si>
    <t xml:space="preserve">DE UN ESPACIO DIGITAL.CON INJERTO                           </t>
  </si>
  <si>
    <t xml:space="preserve">RECONST.TOTAL PULGAR P/TRANSPOSICION                        </t>
  </si>
  <si>
    <t xml:space="preserve">RECONSTRUCCION PARCIAL DEL PULGAR, EN   UNO O MAS TIEMPOS.  </t>
  </si>
  <si>
    <t>LUXACION CONGENITA DE CADERA, REDUCCION INCRUENTA, EXTEMPORA</t>
  </si>
  <si>
    <t xml:space="preserve">LUXAC.CONGEN.DE CADERA,REDUC.CRUENTA    MAYOR I             </t>
  </si>
  <si>
    <t xml:space="preserve">DISPLASIA DE CADERA S/LUXACION.TRAT.QUR.                    </t>
  </si>
  <si>
    <t xml:space="preserve">EPIFIOLISIS DE CADERA.TRAT.QUIR.                            </t>
  </si>
  <si>
    <t>TRATAMIENTO QUIRURGICO DE LA LUXACION   TRAUMATICA INVETERAD</t>
  </si>
  <si>
    <t xml:space="preserve">CUADRICEPSPLASTIA -JUDET,ETC.-.                             </t>
  </si>
  <si>
    <t xml:space="preserve">LUXACION DECIDIVANTE DE ROTULA.                             </t>
  </si>
  <si>
    <t xml:space="preserve">PIE ZAMBO.VARO EQUINO SUPINADO                              </t>
  </si>
  <si>
    <t xml:space="preserve">PIE EQUINO, TRATAMIENTO QUIRURGICO.                         </t>
  </si>
  <si>
    <t xml:space="preserve">PIE PLANO O PIE CAVO,TRAT.QUIRURGICO                        </t>
  </si>
  <si>
    <t xml:space="preserve">SEUDOEXOSTOSIS DE HAGLUND.                                  </t>
  </si>
  <si>
    <t xml:space="preserve">TRATAMIENTO QUIRURGICO DE PIE HENDIDO.                      </t>
  </si>
  <si>
    <t>TRATAMIENTO QUIRURGICO COMPLETO DEL HAL-LUS VALGUS SIMPLE Y/</t>
  </si>
  <si>
    <t>TRATAMIENTO QUIRURGICO DEL DEDO EN GARRAEN MARTILLO, DEL QUI</t>
  </si>
  <si>
    <t xml:space="preserve">EXERESIS DE NEURONA DE MORTON.                              </t>
  </si>
  <si>
    <t>MUSCULARES, PERIARTICULARES, TENDINOSAS,DE FASCIAS, DE GANGL</t>
  </si>
  <si>
    <t>MOVILIZACION FORZADA DE ARTICULACION -BAJO ANESTESIA GENERAL</t>
  </si>
  <si>
    <t xml:space="preserve">ESCISION DE QUISTE DERMOIDEO SACROCOXIGE                    </t>
  </si>
  <si>
    <t>ESCISION AMPLIA DE LESION DE PIEL, COM- PRENDIENDO ESTRUCTUR</t>
  </si>
  <si>
    <t>ESCISION RADICAL DE ANGIOMA CAVERNOSO MAYOR DE 5 CM DE DIAME</t>
  </si>
  <si>
    <t>ESCISION LOCAL DE LESION DE PIEL O GLAN-DULA DE PIEL,CICATRI</t>
  </si>
  <si>
    <t xml:space="preserve">INCISION, DRENAJE ABSCESO SUPERFICIAL                       </t>
  </si>
  <si>
    <t xml:space="preserve">DESTRUCCION LESION DE PIEL.ELECTROCOAG.                     </t>
  </si>
  <si>
    <t>DESTRUCCION DE LESION DE PIEL -VERRUGA, QUERATOSIS SENIL,FIB</t>
  </si>
  <si>
    <t>BIOPSIA DE PIEL Y/O TEJIDO CELULAR SUB- CUTANEO Y/O MUSCULO.</t>
  </si>
  <si>
    <t xml:space="preserve">ESCION DE UNA,LECHO O REPLIEGUE UNGUENAL                    </t>
  </si>
  <si>
    <t xml:space="preserve">SUTURAS DE HERIDAS.                                         </t>
  </si>
  <si>
    <t xml:space="preserve">ESCIS.TUMOR TEJ.CELULAR SUBCUT.LIPOMA                       </t>
  </si>
  <si>
    <t xml:space="preserve">ESCISION DE LIPOMA GIGANTE                                  </t>
  </si>
  <si>
    <t>INCIS.Y DREN.DE ABCESO PROF.SUBAPONEUR. EXTRACCION DE CUERPO</t>
  </si>
  <si>
    <t>PACIENTE C/QUEMADURAS 2* Y 3* GRADO     5% SUPERFICIE CORPOR</t>
  </si>
  <si>
    <t>ATENCION DEL PACIENTE CON QUEMADURAS DE SEGUNDO Y TERCER GRA</t>
  </si>
  <si>
    <t>ESCISION DE ESCARAS POSTQUEMADURAS Y/O  CURACIONES DEL PACIE</t>
  </si>
  <si>
    <t xml:space="preserve">ESCISION DE ESCARAS                                         </t>
  </si>
  <si>
    <t xml:space="preserve">RECONSTRUCCION DEL PABELLON AURICULAR                       </t>
  </si>
  <si>
    <t xml:space="preserve">OTOPLASTIA                                                  </t>
  </si>
  <si>
    <t xml:space="preserve">OTOPLASTIA DE LOBULO HENDIDO.                               </t>
  </si>
  <si>
    <t xml:space="preserve">ESCISION COMPL.O AMPUT.DE PABELLON                          </t>
  </si>
  <si>
    <t>INCISION Y DRENAJE DE AURICULA. SUTURA  DEL PABELLON AURICUL</t>
  </si>
  <si>
    <t xml:space="preserve">RESECCION DE OSTEOMA.                                       </t>
  </si>
  <si>
    <t xml:space="preserve">EXTIRPACION DE COLOBOMA AURIS                               </t>
  </si>
  <si>
    <t xml:space="preserve">DRENAJE DE LESION DE CONDUCTO           AUDITIVO EXTERNO    </t>
  </si>
  <si>
    <t xml:space="preserve">MIRINGOPLASTIA.                                             </t>
  </si>
  <si>
    <t xml:space="preserve">TIMPANOPLASTIA.                         ESPECIAL C          </t>
  </si>
  <si>
    <t xml:space="preserve">MIRINGOTOMIA CON O SIN COLOCACION DE TUB                    </t>
  </si>
  <si>
    <t xml:space="preserve">MOVILIZACION DEL ESTRIBO.                                   </t>
  </si>
  <si>
    <t xml:space="preserve">ESTAPEDECTOMIA.                                             </t>
  </si>
  <si>
    <t xml:space="preserve">MASTOIDECTOMIA SIMPLE O RADICAL                             </t>
  </si>
  <si>
    <t xml:space="preserve">ANTROT.MASTOIDEA CIERRE FIST.MASTOID.                       </t>
  </si>
  <si>
    <t xml:space="preserve">PUNCION DE ANTRO MASTOIDEO.                                 </t>
  </si>
  <si>
    <t xml:space="preserve">CIRUGIA DEL GLOMUS YUGULARES.                               </t>
  </si>
  <si>
    <t xml:space="preserve">CIRUGIA DE SEGUNDA Y TERCERA PORCIONES  DE NERVIO FACIAL.   </t>
  </si>
  <si>
    <t xml:space="preserve">LABERINTECTOMIA.                        ESPECIAL C          </t>
  </si>
  <si>
    <t xml:space="preserve">FENESTRACION DEL COND.SEMICIRC.EXTER.                       </t>
  </si>
  <si>
    <t xml:space="preserve">CIRUGIA DEL SACO ENDOLINFATICO.                             </t>
  </si>
  <si>
    <t xml:space="preserve">CIRUGIA DEL CONDUCTO AUDITIVO INTERNO                       </t>
  </si>
  <si>
    <t xml:space="preserve">TRAT.QUIRURG.FRACTURA DEL PE\ASCO                           </t>
  </si>
  <si>
    <t xml:space="preserve">TRATAMIENTO QUIRURGICO DE NEURINOMA DEL ACUSTICO            </t>
  </si>
  <si>
    <t xml:space="preserve">ATRESIA DE COANAS PERMEABILIZACION POR ACCESO PALATINO.     </t>
  </si>
  <si>
    <t xml:space="preserve">RESECCION TOTAL DE NARIZ.                                   </t>
  </si>
  <si>
    <t>RECONSTRUCCION DIFERIDA DE PIRAMIDE     NASAL CON COLGAJO PO</t>
  </si>
  <si>
    <t xml:space="preserve">TRATAMIENTO QUIRURGICO DEL RINOFINA                         </t>
  </si>
  <si>
    <t xml:space="preserve">ESCISION DE TUMORES ENDONASALES POR     RINOTOMIA LATERAL.  </t>
  </si>
  <si>
    <t xml:space="preserve">RESECCION DE LESION LOCAL ENDONASAL                         </t>
  </si>
  <si>
    <t xml:space="preserve">ESCISION DE POLIPO RETRO COANAL                             </t>
  </si>
  <si>
    <t xml:space="preserve">SEPTUMPLASTIA POR IMPLANTACION DE CARTI-LAGO AUTOGENO       </t>
  </si>
  <si>
    <t xml:space="preserve">SEPTUMPLASTIA POR PERFORACION O IMPLANTAMAYOR F             </t>
  </si>
  <si>
    <t xml:space="preserve">RESECCION DE TABIQUE NASAL -OP.DE KILLI-                    </t>
  </si>
  <si>
    <t xml:space="preserve">TURBINECTOMIA PARCIAL O COMPLETA SIMPLE MAYOR B             </t>
  </si>
  <si>
    <t xml:space="preserve">SUTURA DE NARIZ. BIOPSIA DE NARIZ.                          </t>
  </si>
  <si>
    <t xml:space="preserve">CIERRE DE FISURA MENINGEA-CREANORRINORRE                    </t>
  </si>
  <si>
    <t xml:space="preserve">SINUSOTOMIA COMBINADA UNILATERAL        ESPECIAL A          </t>
  </si>
  <si>
    <t xml:space="preserve">SINUSOTOMIA COMBINADA BILATERAL         ESPECIAL B          </t>
  </si>
  <si>
    <t xml:space="preserve">SINUSOTOMIA RADICAL FRONTAL POR VIA EXTE                    </t>
  </si>
  <si>
    <t xml:space="preserve">SINUSOTOMIA FRONTAL EXTERNA                                 </t>
  </si>
  <si>
    <t xml:space="preserve">SINUSOTOMIA ESFENOIDAL.                                     </t>
  </si>
  <si>
    <t xml:space="preserve">PUNCION DE SENO ESFENOIDAL.                                 </t>
  </si>
  <si>
    <t xml:space="preserve">ETMOIDECTOMIA INTERNA.                                      </t>
  </si>
  <si>
    <t xml:space="preserve">CIRUGIA DE TUMORES ETMOIDALES.                              </t>
  </si>
  <si>
    <t>ANTRONOMIA MAXILAR RADICAL -SINUSOTOMIA MAXILAR RADICAL-UNIL</t>
  </si>
  <si>
    <t>ANTROTOMIA MAXILAR RADICAL -SINUSOTOMIA MAXILAR RADICAL-BILA</t>
  </si>
  <si>
    <t xml:space="preserve">SINUSOTOMIA MAXILAR SIMPLE                                  </t>
  </si>
  <si>
    <t xml:space="preserve">SINUSOTOMIA MAXILAR SIMPLE BILATERAL.   ESPECIAL D          </t>
  </si>
  <si>
    <t xml:space="preserve">CIERRE DE FISTULA ORAL DE SENO MAXILAR -                    </t>
  </si>
  <si>
    <t xml:space="preserve">PUNCION SENO O BIOPSIA DE SENO PARANASAL                    </t>
  </si>
  <si>
    <t xml:space="preserve">CIRUGIA DE LA FOSA PTERIGOMAXILAR                           </t>
  </si>
  <si>
    <t xml:space="preserve">LARINGUECTOMIA RADICAL CON VACIAMIENTO DE CUELLO -OPERACION </t>
  </si>
  <si>
    <t xml:space="preserve">LARINGOFARINGECTOMIA                                        </t>
  </si>
  <si>
    <t xml:space="preserve">LARINGECTOMIA TOTAL.                                        </t>
  </si>
  <si>
    <t xml:space="preserve">LARINGECTOMIA PARCIAL.                                      </t>
  </si>
  <si>
    <t xml:space="preserve">LARINGOPLASTIA                                              </t>
  </si>
  <si>
    <t xml:space="preserve">LARINGOTOMIA MEDIANA E INFERIOR                             </t>
  </si>
  <si>
    <t xml:space="preserve">INCISION Y DRENAJE DE LARINGE                               </t>
  </si>
  <si>
    <t xml:space="preserve">MICROCIRUGIA DE LARINGE.                                    </t>
  </si>
  <si>
    <t xml:space="preserve">INCISION Y DRENAJE DE LESION DE ORIGEN  DENTARIO.           </t>
  </si>
  <si>
    <t xml:space="preserve">EXTRACCION GERMEN DENTARIO                                  </t>
  </si>
  <si>
    <t xml:space="preserve">GINGIVECTOMIA PARCIAL                                       </t>
  </si>
  <si>
    <t xml:space="preserve">GINGIVECTOMIA TOTAL AMPLIADA                                </t>
  </si>
  <si>
    <t xml:space="preserve">OPERACION COMANDO DE ENCIA O DE TRIGONO RETROMOLAR          </t>
  </si>
  <si>
    <t xml:space="preserve">BIOPSIA DE ENCIA, SUTURA DE ENCIA.                          </t>
  </si>
  <si>
    <t xml:space="preserve">PAROTIDECTOMIA TOTAL.                                       </t>
  </si>
  <si>
    <t xml:space="preserve">OPERACION COMANDO DE PAROTIDA                               </t>
  </si>
  <si>
    <t xml:space="preserve">PAROTIDECTOMIA DEL LOBULO SUPERFICIAL.                      </t>
  </si>
  <si>
    <t xml:space="preserve">ESCISION RADICAL DE GLANDULA SUBMAXILAR.                    </t>
  </si>
  <si>
    <t xml:space="preserve">OPERACION COMANDO DE GLANDULA SUBMAXILAR                    </t>
  </si>
  <si>
    <t>INCISION Y DRENAJE DE GLANDULA PAROTIDA,SUBMAXILAR O SUS CON</t>
  </si>
  <si>
    <t>BIOPSIA DE GLANDULA SALIVAL.EXTRACCION  INCISIONAL DE CALCUL</t>
  </si>
  <si>
    <t xml:space="preserve">EXTIRPACION DE RANULA.                                      </t>
  </si>
  <si>
    <t xml:space="preserve">OPERACION COMANDO PISO DE BOCA                              </t>
  </si>
  <si>
    <t xml:space="preserve">ESCISION AMPLIADA MUCOSA YUGAL RECONS.  INMEDIATA           </t>
  </si>
  <si>
    <t xml:space="preserve">ESTOMATOPLASTIA CON INJERTO                                 </t>
  </si>
  <si>
    <t>INCISION Y DRENAJE DE PISO DE BOCA -BIOPSIA MUCOSA BUCAL.SUT</t>
  </si>
  <si>
    <t xml:space="preserve">CIERRE DE FISTULA EXTERNA DE BOCA.                          </t>
  </si>
  <si>
    <t xml:space="preserve">QUEILOPLASTIA,LABIO LEPORINO, UNILATERAL                    </t>
  </si>
  <si>
    <t xml:space="preserve">QUEILOPLASTIA, LABIO LEPORINO, BILATERAL                    </t>
  </si>
  <si>
    <t xml:space="preserve">QUEILOPLASTIA UNI O BILATER.                                </t>
  </si>
  <si>
    <t xml:space="preserve">RESECCION DE LABIO ESCISION EN CU\A                         </t>
  </si>
  <si>
    <t xml:space="preserve">QUEILOPLASTIA DE BERNARD, BOROW, ABBE EASILANDER O SIMILAR  </t>
  </si>
  <si>
    <t>QUEILOPLASTIA, CON VACIAMIENTO GANGLIONAR SUPRAHIOIDEO BILAT</t>
  </si>
  <si>
    <t xml:space="preserve">ESCISION LOCAL DE LESION DE LABIO.                          </t>
  </si>
  <si>
    <t xml:space="preserve">INSIC.DRENAJE LABIO Y SUTURA .BIOPSIA                       </t>
  </si>
  <si>
    <t xml:space="preserve">OPERACION COMANDO LENGUA                                    </t>
  </si>
  <si>
    <t xml:space="preserve">GLOSECTOMIA SUBTOTAL.                                       </t>
  </si>
  <si>
    <t xml:space="preserve">ESCISION LOCAL DE LESION DE LENGUA.                         </t>
  </si>
  <si>
    <t xml:space="preserve">GLOSOPLASTIA.                                               </t>
  </si>
  <si>
    <t xml:space="preserve">GLOSOTOMIA SECCION FRENILLO SUTURA LENG.                    </t>
  </si>
  <si>
    <t xml:space="preserve">PALATOPLASTIA PALADAR BLANDO O DURO                         </t>
  </si>
  <si>
    <t xml:space="preserve">RESECCION PARCIAL DE PALADAR.                               </t>
  </si>
  <si>
    <t xml:space="preserve">RESECCION TOTAL DE PALADAR.                                 </t>
  </si>
  <si>
    <t>RESECCION TOTAL DE PALADAR Y RECONSTRUCCION INMEDIATA C/INJE</t>
  </si>
  <si>
    <t xml:space="preserve">OPERACION COMANDO DE PALADAR BLANDO                         </t>
  </si>
  <si>
    <t xml:space="preserve">INCISION Y DRENAJE DE PALADAR SUTURA                        </t>
  </si>
  <si>
    <t xml:space="preserve">AMIGDALECTOMIA ADENDIDECTOMIA           MAYOR I             </t>
  </si>
  <si>
    <t>ESCISION O ELECTROCOAGULACION DE AMIGDALA LINGUAL RESTO AMIG</t>
  </si>
  <si>
    <t>INCISION Y DRENAJE DE AMIGDALA O DE TEJIDOS PERIAMIGDALINOS.</t>
  </si>
  <si>
    <t xml:space="preserve">OPERACION COMANDO FARINGE                                   </t>
  </si>
  <si>
    <t xml:space="preserve">FARINGOPLASTIA.                         ESPECIAL C          </t>
  </si>
  <si>
    <t xml:space="preserve">FARINGUECTOMIA                                              </t>
  </si>
  <si>
    <t>ESCISION DE DIVERTICULO FARINGOESOFAGICO. ESCISION DE LESION</t>
  </si>
  <si>
    <t xml:space="preserve">FARINGOTOMIA INCISION Y DRENAJE TEJIDO  MAYOR E             </t>
  </si>
  <si>
    <t xml:space="preserve">CIERRE DE FARINGOSTOMA.                                     </t>
  </si>
  <si>
    <t xml:space="preserve">SUTURA DE FARINGE.                                          </t>
  </si>
  <si>
    <t xml:space="preserve">BIOPSIA DE FARINGE.                                         </t>
  </si>
  <si>
    <t xml:space="preserve">ESCISION RADICAL DE LESION DE NASOFARING                    </t>
  </si>
  <si>
    <t xml:space="preserve">BIOPSIA DE LESION DE NASOFARINGE.                           </t>
  </si>
  <si>
    <t xml:space="preserve">BLOQUEO SACROILIACO UNILATERAL                              </t>
  </si>
  <si>
    <t xml:space="preserve">BLOQUEO SACROILIACO BILATERAL                               </t>
  </si>
  <si>
    <t xml:space="preserve">BLOQUEO INTERCOSTAL                                         </t>
  </si>
  <si>
    <t xml:space="preserve">BLOQUEO DE NERVIO ESPLACNICO                                </t>
  </si>
  <si>
    <t xml:space="preserve">TIROIDECTOMIA TOTAL CON VACIAMIENTO GANGESPECIAL D          </t>
  </si>
  <si>
    <t>TIROIDECTOMIA TOTAL CON VACIAMIENTO GANGLIONAR RADICAL BILAT</t>
  </si>
  <si>
    <t xml:space="preserve">TIROIDECTOMIA TOTAL.                                        </t>
  </si>
  <si>
    <t xml:space="preserve">TIROIDECTOMIA SUB-TOTAL-HEMITIROIDECTOMIESPECIAL B          </t>
  </si>
  <si>
    <t xml:space="preserve">EXTIRPACION DE QUISTE TIROGLOSO.                            </t>
  </si>
  <si>
    <t xml:space="preserve">PUNCION BIOPSIA DE TIROIDES.                                </t>
  </si>
  <si>
    <t xml:space="preserve">INCISION Y DRENAJE DE QUISTE TIROGLOSO I                    </t>
  </si>
  <si>
    <t xml:space="preserve">PARATIROIDECTOMIA                                           </t>
  </si>
  <si>
    <t xml:space="preserve">ADRENALECTOMIA BILATERAL.                                   </t>
  </si>
  <si>
    <t xml:space="preserve">ADRENALECTOMIA UNILATERAL.                                  </t>
  </si>
  <si>
    <t xml:space="preserve">HIPOFISECTOMIA TRANSEPTOESFENOIDAL.                         </t>
  </si>
  <si>
    <t>RESECCION DE PLEURA PARIETAL,COSTILLAS,MUSCULOS INTERCOSTALE</t>
  </si>
  <si>
    <t xml:space="preserve">OPERACION PLASTICA POR TORAX EN CARINA OEXCAVADO.           </t>
  </si>
  <si>
    <t xml:space="preserve">TORACOPLASTIA                           ESPECIAL D          </t>
  </si>
  <si>
    <t xml:space="preserve">TRAQUEOPLASTIA.                         ESPECIAL C          </t>
  </si>
  <si>
    <t xml:space="preserve">TRAQUEOSTOMIA, TRAQUEOTOMIA             MAYOR I             </t>
  </si>
  <si>
    <t xml:space="preserve">TRAQUEORRAFIA SUTURA DE TRAQUEA O FISTUL                    </t>
  </si>
  <si>
    <t xml:space="preserve">TRAQUEOPLASTIA BRONCOPLASTIA                                </t>
  </si>
  <si>
    <t xml:space="preserve">CIERRE DE FISTULA BRONCO CUTANEA.                           </t>
  </si>
  <si>
    <t xml:space="preserve">NEUMONECTOMIA,LOBECTOMIA,SEGMENTECTOMIA ESPECIAL E          </t>
  </si>
  <si>
    <t xml:space="preserve">ESCICION LOCAL LESION PULMONAR                              </t>
  </si>
  <si>
    <t xml:space="preserve">OPERACIONES EN EL MEDIASTINO                                </t>
  </si>
  <si>
    <t xml:space="preserve">NEUMOMEDIASTINO.                                            </t>
  </si>
  <si>
    <t xml:space="preserve">MEDIASTINOSCOPIA CON O SIN VIDEOSCOPIA  MAYOR I             </t>
  </si>
  <si>
    <t xml:space="preserve">TORACOTOMIA AMPLIA EXPLORADORA. BIOPSIA ESPECIAL B          </t>
  </si>
  <si>
    <t xml:space="preserve">DRENAJE DE PLEURA CON TROCARD, POR TORACOTOMIA MINIMA.      </t>
  </si>
  <si>
    <t xml:space="preserve">PUNCION PLEURAL Y/O PULMONAR                                </t>
  </si>
  <si>
    <t xml:space="preserve">PUNCION BIOPSIA PLEURA O PULMON                             </t>
  </si>
  <si>
    <t xml:space="preserve">BIOPSIA DE GRASA PRE-ESCALENICA -BIOPSIA DE DANIELS-.       </t>
  </si>
  <si>
    <t xml:space="preserve">NEUMOTORAX POR CADA INYECCION.                              </t>
  </si>
  <si>
    <t xml:space="preserve">MASTECTOMIA RADICAL                 </t>
  </si>
  <si>
    <t xml:space="preserve">MASTECTOMIA SUBRADICAL                                      </t>
  </si>
  <si>
    <t xml:space="preserve">MASTECTOMIA SIMPLE.                                         </t>
  </si>
  <si>
    <t xml:space="preserve">MASTECTOMIA SUBCUTANEA                                      </t>
  </si>
  <si>
    <t xml:space="preserve">ESCISION LOCAL LESION DE MAMA                               </t>
  </si>
  <si>
    <t xml:space="preserve">ESCISION DE CUADRANTE MAMARIO                               </t>
  </si>
  <si>
    <t xml:space="preserve">DRENAJE DE ABSCESO MAMARIO                                  </t>
  </si>
  <si>
    <t xml:space="preserve">PUNCION QUISTE MAMARIO                                      </t>
  </si>
  <si>
    <t xml:space="preserve">SAFENECTOMIA INT.Y/O EXTERNA MIEM.INF.  UNILATERAL          </t>
  </si>
  <si>
    <t xml:space="preserve">SAFENECTOMIA INT.Y/O EXT.MIEMBRO INF.   BILAT.ESPECIAL B    </t>
  </si>
  <si>
    <t>OPERACION DE LINTON, GOCKETT SIMILARES -LIGADURAS SUBAPONEUR</t>
  </si>
  <si>
    <t xml:space="preserve">CANALIZACION VENOSA C/CATETER                               </t>
  </si>
  <si>
    <t xml:space="preserve">ESOFAGUECTOMIA TOTAL Y RECONSTRUCCION ENUN TIEMPO.          </t>
  </si>
  <si>
    <t>ESOFAGUECTOMIA SEGMENTARIA Y RECONSTRUCCION EN UN TIEMPO -ES</t>
  </si>
  <si>
    <t xml:space="preserve">ESOFAGUECTOMIA TOTAL                                        </t>
  </si>
  <si>
    <t xml:space="preserve">REEMPLAZO DE ESOFAGO.                                       </t>
  </si>
  <si>
    <t xml:space="preserve">ESOFAGOGASTROPLASTIA - ESOFAGOFASTRO-   PLASTIA-HELLER      </t>
  </si>
  <si>
    <t xml:space="preserve">OPERACIONES DERIVATIVAS PALIATIVAS -ESOFAGOGASTRO O ESOFAGO </t>
  </si>
  <si>
    <t xml:space="preserve">TRATAMIENTO DE LA ATRESIA ESOFAGICA                         </t>
  </si>
  <si>
    <t>ESOFAGOTOMIA EXPLORADORA POR VIA TORACICA O ABDOMINAL.ESOFAG</t>
  </si>
  <si>
    <t xml:space="preserve">ESCISION DE DIVERTICULO ESOFAGICO INTRATORACICO.            </t>
  </si>
  <si>
    <t xml:space="preserve">ESOFAGOTOMIA O ESOFAGORRAFIA CERVICAL                       </t>
  </si>
  <si>
    <t xml:space="preserve">ESCISION DE DIVERTICULO DE ESOFAGO CERVI                    </t>
  </si>
  <si>
    <t xml:space="preserve">HERNIOPLASTIA DIAFRAGMATICA O ISQUIRRECT                    </t>
  </si>
  <si>
    <t xml:space="preserve">HERNIOPLASTIA INGUINAL, CRURAL, EPIGRAS-MAYOR I             </t>
  </si>
  <si>
    <t xml:space="preserve">TRATAMIENTO QUIRURGICO DEL ONFALOCELE.                      </t>
  </si>
  <si>
    <t xml:space="preserve">HERNIOPLASTIA BILATERAL.                                    </t>
  </si>
  <si>
    <t xml:space="preserve">EVENTRACION, HERNIA RECIDIVADA.         ESPECIAL A          </t>
  </si>
  <si>
    <t xml:space="preserve">CIERRE DE PARED ABDOMINAL POR EVISCERA=                     </t>
  </si>
  <si>
    <t xml:space="preserve">LAPAROTOMIA EXPLORADORA                                     </t>
  </si>
  <si>
    <t xml:space="preserve">ENTEROLISIS                                                 </t>
  </si>
  <si>
    <t xml:space="preserve">PERITONEOCENTESIS                                           </t>
  </si>
  <si>
    <t xml:space="preserve">ESCISION DE TUMOR RETROPERITONEAL                           </t>
  </si>
  <si>
    <t xml:space="preserve">DRENAJE DE ABSCESO SUBFRENICO                               </t>
  </si>
  <si>
    <t xml:space="preserve">GASTRECTOMIA TOTAL.                     ESPECIAL E          </t>
  </si>
  <si>
    <t xml:space="preserve">GASTRECTOMIA SUBTOTAL O REGASTRECTOMIA -ESPECIAL C          </t>
  </si>
  <si>
    <t xml:space="preserve">GASTROTOMIA ESCISION DE ULCERA                              </t>
  </si>
  <si>
    <t xml:space="preserve">GASTROSTOMIA                                                </t>
  </si>
  <si>
    <t xml:space="preserve">GASTRORRAFIA                                                </t>
  </si>
  <si>
    <t xml:space="preserve">GASTRODUODENOSTOMIA -GASTROYEYUNOSTOMIA-                    </t>
  </si>
  <si>
    <t xml:space="preserve">VAGOTOMIA CON PILOROPLASTIA O CON GASTROESPECIAL A          </t>
  </si>
  <si>
    <t xml:space="preserve">PILOROMIOTOMIA-PILOROPLASTIA.           ESPECIAL A          </t>
  </si>
  <si>
    <t xml:space="preserve">CIERRE O ELIMINACION DE GASTROENTEROANASTOMOSIS.            </t>
  </si>
  <si>
    <t xml:space="preserve">CIERRE DE FISTULAS GASTROCOLICAS O GAST-ROYEYUNOCOLICA.     </t>
  </si>
  <si>
    <t xml:space="preserve">CIERRE DE GASTROSTOMIA                                      </t>
  </si>
  <si>
    <t xml:space="preserve">ENTERECTOMIA                                                </t>
  </si>
  <si>
    <t xml:space="preserve">ESCISION DIVERTICULO DE MECKEL.                             </t>
  </si>
  <si>
    <t>ENTEROTOMIA.ESTEROSTOMIA TEMPORARIA O DEFINITIVA. ENTERORRAF</t>
  </si>
  <si>
    <t xml:space="preserve">DERIVACIONES INTESTINALES INTERNAS                          </t>
  </si>
  <si>
    <t xml:space="preserve">OPERACION PLASTICA EN ILEOSTOMIA                            </t>
  </si>
  <si>
    <t>PLICATURA DE INTESTINO DELGADO -OP. DE  NOBLE- OP.DE CHILD-.</t>
  </si>
  <si>
    <t xml:space="preserve">COLECTOMIA TOTAL                                            </t>
  </si>
  <si>
    <t xml:space="preserve">COLECTOMIA TOTAL CON ILEOSTOMIA                             </t>
  </si>
  <si>
    <t xml:space="preserve">HEMICOLECTOMIA                          ESPECIAL C          </t>
  </si>
  <si>
    <t>COLECTOMIA SEGMENTARIA -RESECCION SEGMENTARIA DE COLON, COLE</t>
  </si>
  <si>
    <t xml:space="preserve">RESECCION ANTERIOR -OP.DE DIXON O DE MAU                    </t>
  </si>
  <si>
    <t xml:space="preserve">COLON PROTECTOMIA TOTAL                                     </t>
  </si>
  <si>
    <t xml:space="preserve">PROCTOSIGMOIDECTOMIA ABDOMINO-PERINEAL -OP. DE MILES-.      </t>
  </si>
  <si>
    <t xml:space="preserve">PROTOCSIGMOIDECTOMIA ABDOMINO-PERINEAL E                    </t>
  </si>
  <si>
    <t xml:space="preserve">PROTECTOMIA.                                                </t>
  </si>
  <si>
    <t xml:space="preserve">PROTECTOMIA PROSTATECTOMIA O COLPECTOMIA                    </t>
  </si>
  <si>
    <t xml:space="preserve">RECTOTOMIA SIGMOIDOTOMIA                                    </t>
  </si>
  <si>
    <t xml:space="preserve">PROTOCTOMIA CON DESCOMPRESION -ANO IMPER                    </t>
  </si>
  <si>
    <t xml:space="preserve">PROCTORRAFIA                                                </t>
  </si>
  <si>
    <t>PROCTOPEXIA PROLAPSO DE RECTO VIA ABDO_ MINAL OP DE LAHATORR</t>
  </si>
  <si>
    <t>CONFECCION O CIERRE DE FISTULAS RECTOVE RECTOURETRAL RECTOVA</t>
  </si>
  <si>
    <t xml:space="preserve">COLOSTOMIA TEMPORARIA O DEFINITIVA      ESPECIAL A          </t>
  </si>
  <si>
    <t xml:space="preserve">OPERACION PLASTICA EN COLOSTOMIA COMO   UNICA INTERVENCION  </t>
  </si>
  <si>
    <t xml:space="preserve">DRENAJE DE ABSCESO PERIRRECTAL O DE     ABSCESO DE DOUGLAS  </t>
  </si>
  <si>
    <t xml:space="preserve">APENDICECTOMIA                          ANESTESIA: MAYOR F  </t>
  </si>
  <si>
    <t>EXTRACCION INSTRUMENTAL DE FECALOMAS    INACCESIBLES CON ANE</t>
  </si>
  <si>
    <t xml:space="preserve">EXTRACCION MANUAL DE FECALOMAS                              </t>
  </si>
  <si>
    <t>ANOPLASTIA ESTENOSIS CON O SIN ESFINTE  ROTOMIA O ESFINTEREC</t>
  </si>
  <si>
    <t>ANOPLASTIA POR ESTENOSIS CON DESLIZAMIENTO DE COLGAJOS PEDIC</t>
  </si>
  <si>
    <t>ESFINTEROPLASTIA TIPO PICKREL O SIMILAR INCLUYE EVENTUAL COL</t>
  </si>
  <si>
    <t xml:space="preserve">ESFINTEROPLASTIA TIPO PLICATURA O SIMI_ LAR ESFINTERORRAFIA </t>
  </si>
  <si>
    <t xml:space="preserve">CERCLAJE DE ANO                                             </t>
  </si>
  <si>
    <t xml:space="preserve">HEMORROIDECTOMIA CON O SIN FISURA ANAL                      </t>
  </si>
  <si>
    <t xml:space="preserve">TROMBECTOMIA INFARTECTOMIA TROMBOSIS    HEMORRODARIA        </t>
  </si>
  <si>
    <t>TRATAMIENTO QUIRURGICO DEL PROLAPSO     MUCOSO OP DE WHITE H</t>
  </si>
  <si>
    <t xml:space="preserve">TRATAMIENTO DE LAS HEMORROIDES CON      LIGADURA ELASTICA   </t>
  </si>
  <si>
    <t>TRATAMIENTO ESCLEROSANTE EN HEMORROIDES POR SESION MAXIMO TR</t>
  </si>
  <si>
    <t xml:space="preserve">FISTULECTOMIA O FISTULOTOMIA FISTULA DELMAYOR F             </t>
  </si>
  <si>
    <t>FISURECTOMIA CRIPTECTOMIA O PAPILECTOMIA CON O SIN ESFINTERO</t>
  </si>
  <si>
    <t xml:space="preserve">ESFINTEROTOMIA O ESFINTERECTOMIA - COMO UNICA OPERACION     </t>
  </si>
  <si>
    <t>ESCISION DE LESION DE PIEL PERIANAL     CUERPOS CUTANEOS PAP</t>
  </si>
  <si>
    <t xml:space="preserve">FULGURACION RADICAL DE CONDILOMAS ACUMI-NADOS VOLUMINOSOS   </t>
  </si>
  <si>
    <t xml:space="preserve">INCISION O DRENAJE DE ABSCESO PERIANAL.                     </t>
  </si>
  <si>
    <t>TRATAMIENTO RADICAL DEL ABSCESO CON RESECCION DE LA CRIPTA D</t>
  </si>
  <si>
    <t xml:space="preserve">LOBECTOMIA HEPATICA.                                        </t>
  </si>
  <si>
    <t xml:space="preserve">SEGMENTECTOMIA HEPATICA                                     </t>
  </si>
  <si>
    <t xml:space="preserve">HEPATECTOMIA PARCIAL. ESCISION RADICAL  ESPECIAL B          </t>
  </si>
  <si>
    <t xml:space="preserve">HEPATOSTOMIA                                                </t>
  </si>
  <si>
    <t xml:space="preserve">SUTURA DE HIGADO                                            </t>
  </si>
  <si>
    <t xml:space="preserve">BIOPSIA DE HIGADO POR LAPARATOMIA.                          </t>
  </si>
  <si>
    <t xml:space="preserve">PUNCION DE HIGADO -PERCUTANEA-.                             </t>
  </si>
  <si>
    <t xml:space="preserve">COLECISTOSTOMIA                         ESPECIAL A          </t>
  </si>
  <si>
    <t xml:space="preserve">COLECISTECTOMIA C/SIN COLEDOCTOMIA      ESPECIAL B          </t>
  </si>
  <si>
    <t xml:space="preserve">SECCION DE AMPOLLA DE VATER, TRANSDUODE-NAL.PAPILOTOMIA     </t>
  </si>
  <si>
    <t xml:space="preserve">COLEDOCOTOMIA                           ESPECIAL B          </t>
  </si>
  <si>
    <t xml:space="preserve">ANASTOMOSIS BILIODIGESTIVAS SIMPLES                         </t>
  </si>
  <si>
    <t xml:space="preserve">ANASTOMOSIS BILIODIGESTIVAS COMPLEJAS -H                    </t>
  </si>
  <si>
    <t>OPERACIONES REPARADORAS DE LA VIA BILIARREOPERACION VIA BILI</t>
  </si>
  <si>
    <t>EXTRACCION INSTRUMENTAL COMPLETA DE     CALCULOS COLEDOCIANO</t>
  </si>
  <si>
    <t xml:space="preserve">DUODENOPANCREATECTOMIA.                                     </t>
  </si>
  <si>
    <t xml:space="preserve">ANASTOMOSIS PANCREATICODIGESTIVAS                           </t>
  </si>
  <si>
    <t xml:space="preserve">ESCISION LOCAL DE LESION DE PANCREAS -AD                    </t>
  </si>
  <si>
    <t>ESCISION CORPOROCAUDAL. ESPLENOPANCREATECTOMIA CORPOROCAUDAL</t>
  </si>
  <si>
    <t xml:space="preserve">SUTURA DE PANCREAS.BIOPSIA DE PANCREAS                      </t>
  </si>
  <si>
    <t xml:space="preserve">ESPLENECTOMIA                           ESPECIAL C          </t>
  </si>
  <si>
    <t xml:space="preserve">BLOQUEO RADICULAR BAJO TAC                                  </t>
  </si>
  <si>
    <t xml:space="preserve">BLOQUEO PERIDURAL BAJO TAC                                  </t>
  </si>
  <si>
    <t xml:space="preserve">PUNCION BIOPSIA DE NERVIO                                   </t>
  </si>
  <si>
    <t xml:space="preserve">PUNCION BIOPSIA DE MUSCULO                                  </t>
  </si>
  <si>
    <t xml:space="preserve">BLOQUEOS HOMBRO/MUNECA/RODILLA/CADERA                       </t>
  </si>
  <si>
    <t xml:space="preserve">BLOQUEO FACETARIO BAJO TAC                                  </t>
  </si>
  <si>
    <t xml:space="preserve">CIFOPLASTIA UNICA                                           </t>
  </si>
  <si>
    <t xml:space="preserve">CIFOPLASTIA MULTIPLE                                        </t>
  </si>
  <si>
    <t>LINFADENECTOMIA CERVICAL, AXILAR O INGUINAL RADICAL, UNILATE</t>
  </si>
  <si>
    <t>LINFADENECTOMIA CERVICAL, AXILAR O INGUINAL, RADICAL, BILATE</t>
  </si>
  <si>
    <t xml:space="preserve">ESCISION LESION CONDUCTOS LINFATICOS                        </t>
  </si>
  <si>
    <t xml:space="preserve">DRENAJE DE SENO LINFATICO -DERIVACION-.                     </t>
  </si>
  <si>
    <t xml:space="preserve">LINFADENECTOMIA -BIOPSIA DE GANGLIO LIN-                    </t>
  </si>
  <si>
    <t xml:space="preserve">LINFADENOTOMIA.                                             </t>
  </si>
  <si>
    <t xml:space="preserve">BIOPSIA DE GANGLIO LINFATICO POR PUNCION                    </t>
  </si>
  <si>
    <t xml:space="preserve">DISECCION QUIRURGICA PARA LINFOADENOGRA-FIA -LINFOCLISIS-.  </t>
  </si>
  <si>
    <t xml:space="preserve">USO DE MICROSCOPIO EN QUIROFANO                             </t>
  </si>
  <si>
    <t xml:space="preserve">USO DE LAPAROSCOPIO                                         </t>
  </si>
  <si>
    <t xml:space="preserve">USO DE ARGON PLASMA                                         </t>
  </si>
  <si>
    <t>Tests de alergia</t>
  </si>
  <si>
    <t>Inclusiones y exclusiones</t>
  </si>
  <si>
    <t>TEST DE ALERGIA PRIMER ESCALON DIAGNOSTICO</t>
  </si>
  <si>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Prick + intradermoreacción + evaluación
Observación hasta 6 hs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 
Internación en caso de ser necesaria y cualquier otra prestación adicional.
Drogas para evaluación</t>
    </r>
  </si>
  <si>
    <t xml:space="preserve">TEST DE ALERGIA DESENCADENANTE </t>
  </si>
  <si>
    <r>
      <rPr>
        <sz val="10"/>
        <color rgb="FF000000"/>
        <rFont val="Arial"/>
        <family val="2"/>
      </rPr>
      <t xml:space="preserve">Posterior a prick/ intratradermo reacción + evaluación
</t>
    </r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Observación hasta 6 hs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
Drogas para evaluación</t>
    </r>
  </si>
  <si>
    <t>TEST ALERGIA A DROGAS - ANALGESICOS</t>
  </si>
  <si>
    <r>
      <rPr>
        <sz val="10"/>
        <color rgb="FF000000"/>
        <rFont val="Arial"/>
        <family val="2"/>
      </rPr>
      <t xml:space="preserve">Prick/ intradermoreacción/desencandenante + busqueda alternativa + evaluación.
</t>
    </r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Observación hasta 6 hs.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
Drogas para evaluación</t>
    </r>
  </si>
  <si>
    <t>TEST ALERGIA A DROGAS - MEDIOS CONTRASTE</t>
  </si>
  <si>
    <r>
      <rPr>
        <sz val="10"/>
        <color rgb="FF000000"/>
        <rFont val="Arial"/>
        <family val="2"/>
      </rPr>
      <t xml:space="preserve">Para Iodo sospechoso.
</t>
    </r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Prick/intradermorreacción de droga sospechosa / desencandenante + busqueda alternativa + evaluación.
Observación hasta 6 hs.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
Drogas para evaluación</t>
    </r>
  </si>
  <si>
    <t>TEST ALERGIA A DROGAS - FLUORESCEINA</t>
  </si>
  <si>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Prick + evaluación.
Observación hasta 6 hs.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
Drogas para evaluación</t>
    </r>
  </si>
  <si>
    <t>TEST ALERGIA A DROGAS - ANTIBIOTICOS</t>
  </si>
  <si>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Prick/intradermoreacción de droga sospechosa + evaluación.
Observación hasta 6 hs.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
Drogas para evaluación 
*En caso de ser necesario puede realizar búsqueda de desencadenante, el que se facturará por separado</t>
    </r>
  </si>
  <si>
    <t>TEST ALERGIA A LATEX</t>
  </si>
  <si>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RAST + Prick + Parche + evaluación
Observación hasta 6 hs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</t>
    </r>
  </si>
  <si>
    <t>TEST ALERGENOS DE CONTACTO</t>
  </si>
  <si>
    <r>
      <rPr>
        <b/>
        <sz val="11"/>
        <color theme="1"/>
        <rFont val="Calibri"/>
        <family val="2"/>
      </rPr>
      <t>Inclusiones:</t>
    </r>
    <r>
      <rPr>
        <sz val="10"/>
        <color rgb="FF000000"/>
        <rFont val="Arial"/>
        <family val="2"/>
      </rPr>
      <t xml:space="preserve">
28 reactivos base predeterminados + evaluación
Observación hasta 6 hs
</t>
    </r>
    <r>
      <rPr>
        <b/>
        <sz val="11"/>
        <color theme="1"/>
        <rFont val="Calibri"/>
        <family val="2"/>
      </rPr>
      <t>Exclusiones:</t>
    </r>
    <r>
      <rPr>
        <sz val="10"/>
        <color rgb="FF000000"/>
        <rFont val="Arial"/>
        <family val="2"/>
      </rPr>
      <t xml:space="preserve">
Internación en caso de ser necesaria y cualquier otra prestación adicional.</t>
    </r>
  </si>
  <si>
    <t>Anatomia Patologica</t>
  </si>
  <si>
    <t xml:space="preserve">Biopsia por incision o puncion </t>
  </si>
  <si>
    <t>Estudio pieza operatoria</t>
  </si>
  <si>
    <t xml:space="preserve">Est. Pieza reseccion oncologica ampliada                                                                </t>
  </si>
  <si>
    <t xml:space="preserve">BRQ mama (Inclusion Total) </t>
  </si>
  <si>
    <t xml:space="preserve">Prostatectomia Radical (Inclusion Total) </t>
  </si>
  <si>
    <t>Biopsia p/congelacion</t>
  </si>
  <si>
    <t xml:space="preserve">Estudio Intraoperatorio (Cada tejido) </t>
  </si>
  <si>
    <t xml:space="preserve">Estudio biopsico seriado y semiseriado                                                                      </t>
  </si>
  <si>
    <t xml:space="preserve">Control de puncion (Cada lesion) </t>
  </si>
  <si>
    <t>Coloracion especial (cada tincion)</t>
  </si>
  <si>
    <t xml:space="preserve">Citologia exfoliativa oncologica                                                                </t>
  </si>
  <si>
    <t xml:space="preserve">Citolog exfoliativa hormonal                                                              </t>
  </si>
  <si>
    <t xml:space="preserve">Citologia exfoliativa oncologica bronqui                                                             </t>
  </si>
  <si>
    <t>Helicobacter Pylori</t>
  </si>
  <si>
    <t>Citologia exfoliativa oncologica de liquidos</t>
  </si>
  <si>
    <t>Estudio / Marcacion</t>
  </si>
  <si>
    <t xml:space="preserve">IHQ x 1 marcador </t>
  </si>
  <si>
    <t xml:space="preserve">Panel de mama (RE, RP, Ki67, Her2Neu) </t>
  </si>
  <si>
    <t xml:space="preserve">Her2Neu </t>
  </si>
  <si>
    <t xml:space="preserve">Receptores de estrógeno </t>
  </si>
  <si>
    <t xml:space="preserve">Receptores de progesterona </t>
  </si>
  <si>
    <t xml:space="preserve">Ki67 </t>
  </si>
  <si>
    <t xml:space="preserve">Inestabilidad microsatelital (MLH-1, PMS2, MSH2 y MSH6) </t>
  </si>
  <si>
    <t xml:space="preserve">PDL-1 </t>
  </si>
  <si>
    <t>ALK (Clon D5F3 Pulmón)</t>
  </si>
  <si>
    <t xml:space="preserve">ROS1 </t>
  </si>
  <si>
    <t xml:space="preserve">EGFR </t>
  </si>
  <si>
    <t>Marcadores Especiales</t>
  </si>
  <si>
    <t xml:space="preserve">BRAF </t>
  </si>
  <si>
    <t xml:space="preserve">pan-TRK </t>
  </si>
  <si>
    <t xml:space="preserve">Amyloid P </t>
  </si>
  <si>
    <t>p53</t>
  </si>
  <si>
    <t xml:space="preserve">p16 </t>
  </si>
  <si>
    <t xml:space="preserve">MYC </t>
  </si>
  <si>
    <t xml:space="preserve">ACTH </t>
  </si>
  <si>
    <t>FSH</t>
  </si>
  <si>
    <t xml:space="preserve">GH </t>
  </si>
  <si>
    <t xml:space="preserve">LH </t>
  </si>
  <si>
    <t xml:space="preserve">TSH </t>
  </si>
  <si>
    <t xml:space="preserve">NUT </t>
  </si>
  <si>
    <t xml:space="preserve">INI1/SMARCB1 </t>
  </si>
  <si>
    <t xml:space="preserve">Brachyury (Cordoma) </t>
  </si>
  <si>
    <t xml:space="preserve">DOG1 </t>
  </si>
  <si>
    <t>CD117</t>
  </si>
  <si>
    <t xml:space="preserve">TCL1 </t>
  </si>
  <si>
    <t xml:space="preserve">ALK (Clon ALK-1 Linfoma) </t>
  </si>
  <si>
    <t xml:space="preserve">MDM2/CDK4 </t>
  </si>
  <si>
    <t>TFE3</t>
  </si>
  <si>
    <t xml:space="preserve">NKX2.2 </t>
  </si>
  <si>
    <t>TLE1</t>
  </si>
  <si>
    <t xml:space="preserve">STAT6 </t>
  </si>
  <si>
    <t>ATRX</t>
  </si>
  <si>
    <t xml:space="preserve">IDH1 R132H </t>
  </si>
  <si>
    <t xml:space="preserve">Citometría de flujo </t>
  </si>
  <si>
    <t>Presencia de patólogo (por pieza)</t>
  </si>
  <si>
    <t xml:space="preserve">Panel de biopsia renal (Presencia de patólogo, técnicas especiales, inmunofluorescencia renal) </t>
  </si>
  <si>
    <t>HONORARIOS ANESTESIA - AAARBA</t>
  </si>
  <si>
    <t>DENOMINACIÓN</t>
  </si>
  <si>
    <t>MAYOR B</t>
  </si>
  <si>
    <t>MAYOR D</t>
  </si>
  <si>
    <t>MAYOR E</t>
  </si>
  <si>
    <t>MAYOR F</t>
  </si>
  <si>
    <t>MAYOR I</t>
  </si>
  <si>
    <t>ESPECIAL A</t>
  </si>
  <si>
    <t>ESPECIAL B</t>
  </si>
  <si>
    <t>ESPECIAL C</t>
  </si>
  <si>
    <t>ESPECIAL D</t>
  </si>
  <si>
    <t>ESPECIAL E</t>
  </si>
  <si>
    <t>ESPECIAL F</t>
  </si>
  <si>
    <t>ESPECIAL G</t>
  </si>
  <si>
    <t>ESPECIAL H</t>
  </si>
  <si>
    <t>ESPECIAL I</t>
  </si>
  <si>
    <t>ESPECIAL J</t>
  </si>
  <si>
    <t>ESPECIAL K</t>
  </si>
  <si>
    <t>ESPECIAL L</t>
  </si>
  <si>
    <t>ESPECIAL M</t>
  </si>
  <si>
    <t>ESPECIAL N</t>
  </si>
  <si>
    <t>ESPECIAL O</t>
  </si>
  <si>
    <t>ESPECIAL P</t>
  </si>
  <si>
    <t>EVALUACION ANESTESICA</t>
  </si>
  <si>
    <t>URGENCIA DIURNA</t>
  </si>
  <si>
    <t>URGENCIA NOCTURNA</t>
  </si>
  <si>
    <t>URGENCIA SAB-DOM-FER-</t>
  </si>
  <si>
    <t>NORMAS</t>
  </si>
  <si>
    <t>INTERVENCIONES MULTIPLES EN EL MISMO ACTO QUIRURGICO</t>
  </si>
  <si>
    <t>Si son por distintas vias, se facturará el 100% de la mas importante, y el 75% de cada una de las demas intervenciones</t>
  </si>
  <si>
    <t>Si son por misma via, se facturará el 100% de la mas importante, y el 50% de cada una de las demas intervenciones</t>
  </si>
  <si>
    <t>URGENCIAS</t>
  </si>
  <si>
    <t>Se facturará el 20% adicional del valor de la intervencion en concepto de urgencia para los siguientes casos:</t>
  </si>
  <si>
    <t>Intervenciones realizadas entre las 19hs y las 08hs</t>
  </si>
  <si>
    <t>Intervenciones realizadas los Sabados a partir de las 14hs, o Domingos y Feriados todo el dia</t>
  </si>
  <si>
    <t>ARTROPLASTIAS</t>
  </si>
  <si>
    <t>Si la artroplastia es parcial, se debrá adicionar el 25% del valor del modulo</t>
  </si>
  <si>
    <t>Si la artroplastia es total, se deberá adicionar el 50% del valor del modulo</t>
  </si>
  <si>
    <t>PROFESIONAL DE OBRA SOCIAL</t>
  </si>
  <si>
    <t>SI profesional pertenece al staff de la Obra Social, se practicará una bonificacion del 15% sobre el valor total de la intervencion</t>
  </si>
  <si>
    <t>Arancel
Febrero 2029</t>
  </si>
  <si>
    <t>AARBA</t>
  </si>
  <si>
    <t>PRESUPUESTO</t>
  </si>
  <si>
    <t>ADECRA/CEDIM</t>
  </si>
  <si>
    <t>Arancel
Febrero 2030</t>
  </si>
  <si>
    <t>Arancel
Febrero 2031</t>
  </si>
  <si>
    <t xml:space="preserve">Elastografia hepatica </t>
  </si>
  <si>
    <r>
      <t xml:space="preserve">Sanatorio Colegiales
</t>
    </r>
    <r>
      <rPr>
        <b/>
        <sz val="14"/>
        <rFont val="Arial"/>
        <family val="2"/>
        <scheme val="minor"/>
      </rPr>
      <t>Intervencionismo en dolor</t>
    </r>
  </si>
  <si>
    <t>TIPO DE NOMENCLA</t>
  </si>
  <si>
    <t>Prestaciones</t>
  </si>
  <si>
    <t>Bloqueo neuroforaminal selectivo lumbar / cervical. Uni o bilateral.</t>
  </si>
  <si>
    <t>Bloqueo facetario. TAC guiado.</t>
  </si>
  <si>
    <t>Bloqueo peridural. TAC guiado.</t>
  </si>
  <si>
    <t>Bloqueo/infiltración de articulaciones periféricas: (rodilla, hombro, codo, cadera coxo-femoral , PENG-BLOCK). Uni o bilateral. TAC guiado.</t>
  </si>
  <si>
    <t>Bloqueo de articulación sacroilíaca unilateral. TAC guiado.</t>
  </si>
  <si>
    <t>Bloqueo de articulación sacroilíaca bilateral. TAC guiado.</t>
  </si>
  <si>
    <t>Bloqueo de dolor de origen oncológico: Neurolisis química de plexo celíaco/ganglio estrellado/plexo hipogastrico superior e inferior/ganglio impar de Walter. TAC guiado bajo neurolepto-anestesia.</t>
  </si>
  <si>
    <t>Punción lumbar con medición de presión de apertura. TAC guiado.</t>
  </si>
  <si>
    <t>Bloqueo intercostal uni o bilateral. TAC guiado.</t>
  </si>
  <si>
    <t>Bloqueo/infiltración de nervio occipital mayor y menor en neuralgia de Arnold. TAC guiado</t>
  </si>
  <si>
    <t>Neuralgia del nervio pudendo bajo neurolepto anestesia. TAC guiado</t>
  </si>
  <si>
    <r>
      <t xml:space="preserve">Cifoplastía Percutánea única por vértebras fracturadas. En quirofano bajo neurolepto-anestesia. No incluye </t>
    </r>
    <r>
      <rPr>
        <sz val="10"/>
        <color rgb="FF000000"/>
        <rFont val="Arial"/>
        <scheme val="minor"/>
      </rPr>
      <t>set de cifoplastía.</t>
    </r>
  </si>
  <si>
    <t>Cifoplastía Percutánea múltiple por vértebras fracturadas. En quirofano bajo neurolepto-anestesia. No incluye set de cifoplastía.</t>
  </si>
  <si>
    <t>Biopsia vertebral. En quirófano bajo anestesia general. No incluye anatomía patológica diferida.</t>
  </si>
  <si>
    <t>Biopsia de nervios periféricos. En quirófano bajo anestesia local</t>
  </si>
  <si>
    <t>Biopsia de músculos. En quirófano bajo anestesia local</t>
  </si>
  <si>
    <r>
      <rPr>
        <b/>
        <sz val="11"/>
        <color theme="0"/>
        <rFont val="Arial"/>
        <family val="2"/>
        <scheme val="minor"/>
      </rPr>
      <t>INTERNACION</t>
    </r>
    <r>
      <rPr>
        <sz val="11"/>
        <color theme="0"/>
        <rFont val="Arial"/>
        <family val="2"/>
        <scheme val="minor"/>
      </rPr>
      <t xml:space="preserve"> (no incluye internacion)</t>
    </r>
  </si>
  <si>
    <t>Parche hemático peridural (Blood-Patch). TAC guiado.</t>
  </si>
  <si>
    <r>
      <t>Bloqueo en dolor neuropático: Neuralgia trigeminal (termolesión por radiofrecuencia pulsada). En quirófano  bajo neurolepto-anestesia. No incluye alquiler de equipo de radiofrecuencia y agujas.</t>
    </r>
    <r>
      <rPr>
        <sz val="11"/>
        <color rgb="FFFF0000"/>
        <rFont val="Arial"/>
        <family val="2"/>
        <scheme val="minor"/>
      </rPr>
      <t xml:space="preserve"> </t>
    </r>
  </si>
  <si>
    <t>Colocación de neuroestimulador medular y de nervios periférico en dolores complejos (Síndrome de columna fallida)  - En quirófano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</si>
</sst>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 [$$-2C0A]\ * #,##0_ ;_ [$$-2C0A]\ * \-#,##0_ ;_ [$$-2C0A]\ * &quot;-&quot;_ ;_ @_ "/>
    <numFmt numFmtId="165" formatCode="&quot;$&quot;\ #,##0"/>
    <numFmt numFmtId="166" formatCode="&quot;$&quot;#,##0.00;&quot;$&quot;\(#,##0.00\)"/>
    <numFmt numFmtId="167" formatCode="_-&quot;$&quot;\ * #,##0.00_-;\-&quot;$&quot;\ * #,##0.00_-;_-&quot;$&quot;\ * &quot;-&quot;??_-;_-@"/>
    <numFmt numFmtId="168" formatCode="&quot;$&quot;\ #,##0.00"/>
    <numFmt numFmtId="169" formatCode="[$USD]\ #,##0.00"/>
    <numFmt numFmtId="170" formatCode="#,##0.00\ [$€-1]"/>
    <numFmt numFmtId="171" formatCode="_-[$$-2C0A]\ * #,##0.00_-;\-[$$-2C0A]\ * #,##0.00_-;_-[$$-2C0A]\ * &quot;-&quot;??_-;_-@_-"/>
  </numFmts>
  <fonts count="3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b/>
      <sz val="10"/>
      <color theme="0"/>
      <name val="Verdana"/>
      <family val="2"/>
    </font>
    <font>
      <b/>
      <sz val="32"/>
      <color rgb="FF000000"/>
      <name val="Calibri"/>
      <family val="2"/>
    </font>
    <font>
      <b/>
      <sz val="10"/>
      <color theme="0"/>
      <name val="Arial"/>
      <family val="2"/>
    </font>
    <font>
      <b/>
      <sz val="11"/>
      <color theme="0"/>
      <name val="Verdan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Verdana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Verdana"/>
      <family val="2"/>
    </font>
    <font>
      <b/>
      <i/>
      <sz val="10"/>
      <color rgb="FF000000"/>
      <name val="Verdana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6"/>
      <color theme="0"/>
      <name val="Verdana"/>
      <family val="2"/>
    </font>
    <font>
      <b/>
      <sz val="24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name val="Arial"/>
      <family val="2"/>
      <scheme val="minor"/>
    </font>
    <font>
      <b/>
      <sz val="14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BD4B4"/>
        <bgColor rgb="FFFBD4B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24"/>
    <xf numFmtId="9" fontId="29" fillId="0" borderId="0" applyFont="0" applyFill="0" applyBorder="0" applyAlignment="0" applyProtection="0"/>
    <xf numFmtId="0" fontId="1" fillId="0" borderId="24"/>
    <xf numFmtId="44" fontId="1" fillId="0" borderId="24" applyFont="0" applyFill="0" applyBorder="0" applyAlignment="0" applyProtection="0"/>
  </cellStyleXfs>
  <cellXfs count="164"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left" vertical="center"/>
    </xf>
    <xf numFmtId="17" fontId="8" fillId="2" borderId="7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vertical="center" wrapText="1"/>
    </xf>
    <xf numFmtId="167" fontId="3" fillId="0" borderId="2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5" fillId="2" borderId="8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6" fontId="11" fillId="0" borderId="2" xfId="0" applyNumberFormat="1" applyFont="1" applyBorder="1" applyAlignment="1">
      <alignment vertical="center" wrapText="1"/>
    </xf>
    <xf numFmtId="167" fontId="12" fillId="0" borderId="2" xfId="0" applyNumberFormat="1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7" fontId="1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6" fontId="4" fillId="3" borderId="2" xfId="0" applyNumberFormat="1" applyFont="1" applyFill="1" applyBorder="1" applyAlignment="1">
      <alignment vertical="center" wrapText="1"/>
    </xf>
    <xf numFmtId="165" fontId="5" fillId="2" borderId="8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6" fontId="4" fillId="0" borderId="10" xfId="0" applyNumberFormat="1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9" fontId="12" fillId="0" borderId="2" xfId="0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6" fontId="4" fillId="0" borderId="16" xfId="0" applyNumberFormat="1" applyFont="1" applyBorder="1" applyAlignment="1">
      <alignment vertical="center" wrapText="1"/>
    </xf>
    <xf numFmtId="0" fontId="15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165" fontId="5" fillId="2" borderId="20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5" fontId="5" fillId="2" borderId="22" xfId="0" applyNumberFormat="1" applyFont="1" applyFill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7" fontId="3" fillId="0" borderId="2" xfId="0" applyNumberFormat="1" applyFont="1" applyBorder="1"/>
    <xf numFmtId="0" fontId="14" fillId="0" borderId="2" xfId="0" applyFont="1" applyBorder="1" applyAlignment="1">
      <alignment vertical="center" wrapText="1"/>
    </xf>
    <xf numFmtId="169" fontId="3" fillId="0" borderId="2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17" fontId="21" fillId="6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167" fontId="18" fillId="0" borderId="2" xfId="0" applyNumberFormat="1" applyFont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168" fontId="18" fillId="6" borderId="2" xfId="0" applyNumberFormat="1" applyFont="1" applyFill="1" applyBorder="1" applyAlignment="1">
      <alignment horizontal="right" vertical="center" wrapText="1"/>
    </xf>
    <xf numFmtId="0" fontId="22" fillId="4" borderId="2" xfId="0" applyFont="1" applyFill="1" applyBorder="1" applyAlignment="1">
      <alignment horizontal="left" vertical="center" wrapText="1"/>
    </xf>
    <xf numFmtId="168" fontId="18" fillId="0" borderId="2" xfId="0" applyNumberFormat="1" applyFont="1" applyBorder="1" applyAlignment="1">
      <alignment horizontal="left" vertical="center" wrapText="1"/>
    </xf>
    <xf numFmtId="165" fontId="23" fillId="2" borderId="8" xfId="0" applyNumberFormat="1" applyFont="1" applyFill="1" applyBorder="1" applyAlignment="1">
      <alignment vertical="center"/>
    </xf>
    <xf numFmtId="165" fontId="23" fillId="2" borderId="1" xfId="0" applyNumberFormat="1" applyFont="1" applyFill="1" applyBorder="1" applyAlignment="1">
      <alignment vertical="center"/>
    </xf>
    <xf numFmtId="0" fontId="3" fillId="0" borderId="2" xfId="0" applyFont="1" applyBorder="1"/>
    <xf numFmtId="17" fontId="17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7" fontId="17" fillId="0" borderId="10" xfId="0" applyNumberFormat="1" applyFont="1" applyBorder="1" applyAlignment="1">
      <alignment horizontal="center"/>
    </xf>
    <xf numFmtId="0" fontId="3" fillId="0" borderId="25" xfId="0" applyFont="1" applyBorder="1"/>
    <xf numFmtId="170" fontId="3" fillId="0" borderId="25" xfId="0" applyNumberFormat="1" applyFont="1" applyBorder="1"/>
    <xf numFmtId="0" fontId="3" fillId="0" borderId="0" xfId="0" applyFont="1" applyAlignment="1">
      <alignment vertical="center"/>
    </xf>
    <xf numFmtId="0" fontId="24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/>
    </xf>
    <xf numFmtId="0" fontId="17" fillId="0" borderId="2" xfId="0" applyFont="1" applyBorder="1" applyAlignment="1">
      <alignment vertical="center" wrapText="1"/>
    </xf>
    <xf numFmtId="0" fontId="25" fillId="0" borderId="29" xfId="0" applyFont="1" applyBorder="1" applyAlignment="1">
      <alignment horizontal="center" vertical="center"/>
    </xf>
    <xf numFmtId="0" fontId="26" fillId="0" borderId="12" xfId="0" applyFont="1" applyBorder="1"/>
    <xf numFmtId="17" fontId="26" fillId="0" borderId="16" xfId="0" applyNumberFormat="1" applyFont="1" applyBorder="1" applyAlignment="1">
      <alignment horizontal="center"/>
    </xf>
    <xf numFmtId="0" fontId="13" fillId="4" borderId="30" xfId="0" applyFont="1" applyFill="1" applyBorder="1"/>
    <xf numFmtId="167" fontId="3" fillId="0" borderId="2" xfId="0" applyNumberFormat="1" applyFont="1" applyBorder="1" applyAlignment="1">
      <alignment wrapText="1"/>
    </xf>
    <xf numFmtId="0" fontId="13" fillId="4" borderId="31" xfId="0" applyFont="1" applyFill="1" applyBorder="1"/>
    <xf numFmtId="0" fontId="13" fillId="4" borderId="32" xfId="0" applyFont="1" applyFill="1" applyBorder="1"/>
    <xf numFmtId="0" fontId="26" fillId="0" borderId="29" xfId="0" applyFont="1" applyBorder="1" applyAlignment="1">
      <alignment horizontal="center" vertical="center" wrapText="1"/>
    </xf>
    <xf numFmtId="0" fontId="26" fillId="0" borderId="33" xfId="0" applyFont="1" applyBorder="1" applyAlignment="1">
      <alignment vertical="center" wrapText="1"/>
    </xf>
    <xf numFmtId="14" fontId="26" fillId="0" borderId="16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7" fillId="7" borderId="36" xfId="1" applyFont="1" applyFill="1" applyBorder="1" applyAlignment="1">
      <alignment horizontal="center"/>
    </xf>
    <xf numFmtId="0" fontId="2" fillId="0" borderId="36" xfId="1" applyBorder="1"/>
    <xf numFmtId="0" fontId="27" fillId="8" borderId="36" xfId="1" applyFont="1" applyFill="1" applyBorder="1"/>
    <xf numFmtId="44" fontId="3" fillId="0" borderId="36" xfId="0" applyNumberFormat="1" applyFont="1" applyBorder="1"/>
    <xf numFmtId="17" fontId="17" fillId="6" borderId="5" xfId="0" applyNumberFormat="1" applyFont="1" applyFill="1" applyBorder="1" applyAlignment="1">
      <alignment horizontal="center" vertical="center" wrapText="1"/>
    </xf>
    <xf numFmtId="171" fontId="3" fillId="0" borderId="36" xfId="0" applyNumberFormat="1" applyFont="1" applyBorder="1" applyAlignment="1">
      <alignment vertical="center"/>
    </xf>
    <xf numFmtId="44" fontId="0" fillId="0" borderId="36" xfId="0" applyNumberFormat="1" applyBorder="1" applyAlignment="1">
      <alignment wrapText="1"/>
    </xf>
    <xf numFmtId="167" fontId="3" fillId="0" borderId="25" xfId="0" applyNumberFormat="1" applyFont="1" applyBorder="1" applyAlignment="1">
      <alignment vertical="center" wrapText="1"/>
    </xf>
    <xf numFmtId="167" fontId="12" fillId="0" borderId="2" xfId="0" applyNumberFormat="1" applyFont="1" applyBorder="1" applyAlignment="1">
      <alignment vertical="center" wrapText="1"/>
    </xf>
    <xf numFmtId="10" fontId="3" fillId="0" borderId="0" xfId="2" applyNumberFormat="1" applyFont="1" applyAlignment="1">
      <alignment horizontal="center" vertical="center" wrapText="1"/>
    </xf>
    <xf numFmtId="10" fontId="18" fillId="0" borderId="0" xfId="2" applyNumberFormat="1" applyFont="1" applyAlignment="1">
      <alignment horizontal="center" vertical="center" wrapText="1"/>
    </xf>
    <xf numFmtId="10" fontId="3" fillId="0" borderId="0" xfId="2" applyNumberFormat="1" applyFont="1" applyAlignment="1">
      <alignment horizontal="center"/>
    </xf>
    <xf numFmtId="10" fontId="3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 wrapText="1"/>
    </xf>
    <xf numFmtId="167" fontId="3" fillId="0" borderId="24" xfId="0" applyNumberFormat="1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 wrapText="1"/>
    </xf>
    <xf numFmtId="166" fontId="4" fillId="0" borderId="36" xfId="0" applyNumberFormat="1" applyFont="1" applyBorder="1" applyAlignment="1">
      <alignment vertical="center" wrapText="1"/>
    </xf>
    <xf numFmtId="167" fontId="3" fillId="0" borderId="10" xfId="0" applyNumberFormat="1" applyFont="1" applyBorder="1" applyAlignment="1">
      <alignment vertical="center" wrapText="1"/>
    </xf>
    <xf numFmtId="167" fontId="3" fillId="0" borderId="36" xfId="0" applyNumberFormat="1" applyFont="1" applyBorder="1" applyAlignment="1">
      <alignment vertical="center" wrapText="1"/>
    </xf>
    <xf numFmtId="167" fontId="3" fillId="9" borderId="36" xfId="0" applyNumberFormat="1" applyFont="1" applyFill="1" applyBorder="1" applyAlignment="1">
      <alignment vertical="center" wrapText="1"/>
    </xf>
    <xf numFmtId="0" fontId="1" fillId="0" borderId="24" xfId="3"/>
    <xf numFmtId="0" fontId="33" fillId="0" borderId="37" xfId="3" applyFont="1" applyBorder="1"/>
    <xf numFmtId="0" fontId="1" fillId="0" borderId="38" xfId="3" applyBorder="1"/>
    <xf numFmtId="0" fontId="35" fillId="0" borderId="39" xfId="3" applyFont="1" applyBorder="1" applyAlignment="1">
      <alignment horizontal="center" vertical="center"/>
    </xf>
    <xf numFmtId="17" fontId="36" fillId="10" borderId="39" xfId="3" applyNumberFormat="1" applyFont="1" applyFill="1" applyBorder="1" applyAlignment="1">
      <alignment horizontal="center" vertical="center"/>
    </xf>
    <xf numFmtId="0" fontId="1" fillId="0" borderId="36" xfId="3" applyBorder="1"/>
    <xf numFmtId="0" fontId="1" fillId="0" borderId="40" xfId="3" applyBorder="1" applyAlignment="1">
      <alignment vertical="center"/>
    </xf>
    <xf numFmtId="44" fontId="0" fillId="0" borderId="40" xfId="4" applyFont="1" applyBorder="1"/>
    <xf numFmtId="0" fontId="1" fillId="0" borderId="40" xfId="3" applyBorder="1" applyAlignment="1">
      <alignment vertical="center" wrapText="1"/>
    </xf>
    <xf numFmtId="44" fontId="0" fillId="0" borderId="40" xfId="4" applyFont="1" applyBorder="1" applyAlignment="1">
      <alignment vertical="center"/>
    </xf>
    <xf numFmtId="0" fontId="1" fillId="9" borderId="36" xfId="3" applyFill="1" applyBorder="1"/>
    <xf numFmtId="0" fontId="1" fillId="9" borderId="40" xfId="3" applyFill="1" applyBorder="1" applyAlignment="1">
      <alignment vertical="center" wrapText="1"/>
    </xf>
    <xf numFmtId="0" fontId="32" fillId="10" borderId="24" xfId="3" applyFont="1" applyFill="1" applyAlignment="1">
      <alignment horizontal="center" vertical="center" wrapText="1"/>
    </xf>
    <xf numFmtId="0" fontId="1" fillId="0" borderId="41" xfId="3" applyBorder="1" applyAlignment="1">
      <alignment vertical="center" wrapText="1"/>
    </xf>
    <xf numFmtId="44" fontId="0" fillId="0" borderId="36" xfId="4" applyFont="1" applyBorder="1"/>
    <xf numFmtId="44" fontId="27" fillId="0" borderId="36" xfId="4" applyFont="1" applyBorder="1" applyAlignment="1">
      <alignment horizontal="center" vertical="center"/>
    </xf>
    <xf numFmtId="0" fontId="1" fillId="9" borderId="41" xfId="3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wrapText="1"/>
    </xf>
    <xf numFmtId="0" fontId="5" fillId="2" borderId="13" xfId="0" applyFont="1" applyFill="1" applyBorder="1" applyAlignment="1">
      <alignment horizontal="center" vertical="center"/>
    </xf>
    <xf numFmtId="0" fontId="9" fillId="0" borderId="15" xfId="0" applyFont="1" applyBorder="1" applyAlignment="1">
      <alignment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5" fillId="2" borderId="23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wrapText="1"/>
    </xf>
    <xf numFmtId="14" fontId="17" fillId="5" borderId="25" xfId="0" applyNumberFormat="1" applyFont="1" applyFill="1" applyBorder="1" applyAlignment="1">
      <alignment horizontal="center" vertical="center"/>
    </xf>
    <xf numFmtId="14" fontId="9" fillId="0" borderId="26" xfId="0" applyNumberFormat="1" applyFont="1" applyBorder="1" applyAlignment="1">
      <alignment wrapText="1"/>
    </xf>
    <xf numFmtId="10" fontId="3" fillId="0" borderId="11" xfId="2" applyNumberFormat="1" applyFont="1" applyBorder="1" applyAlignment="1">
      <alignment horizontal="center"/>
    </xf>
    <xf numFmtId="0" fontId="19" fillId="0" borderId="0" xfId="0" applyFont="1" applyAlignment="1">
      <alignment horizontal="left" vertical="top" wrapText="1"/>
    </xf>
  </cellXfs>
  <cellStyles count="5">
    <cellStyle name="Moneda 2" xfId="4" xr:uid="{E63CE5BB-18BB-4AED-900B-EEA04C127770}"/>
    <cellStyle name="Normal" xfId="0" builtinId="0"/>
    <cellStyle name="Normal 2" xfId="3" xr:uid="{57FF5F30-F680-434B-8C11-7A7C74E404CC}"/>
    <cellStyle name="Normal 3 2" xfId="1" xr:uid="{300B035E-90FC-4831-BAFD-4258EBD9183F}"/>
    <cellStyle name="Porcentaje" xfId="2" builtinId="5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1790700</xdr:colOff>
      <xdr:row>3</xdr:row>
      <xdr:rowOff>114300</xdr:rowOff>
    </xdr:from>
    <xdr:ext cx="4286250" cy="542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07638" y="3513300"/>
          <a:ext cx="42767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lang="en-US" sz="28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Listado de prestaciones</a:t>
          </a:r>
          <a:endParaRPr sz="1400"/>
        </a:p>
      </xdr:txBody>
    </xdr:sp>
    <xdr:clientData fLocksWithSheet="0"/>
  </xdr:oneCellAnchor>
  <xdr:oneCellAnchor>
    <xdr:from>
      <xdr:col>0</xdr:col>
      <xdr:colOff>114300</xdr:colOff>
      <xdr:row>2</xdr:row>
      <xdr:rowOff>9525</xdr:rowOff>
    </xdr:from>
    <xdr:ext cx="3352800" cy="1133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329565"/>
          <a:ext cx="3352800" cy="1133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11"/>
  <sheetViews>
    <sheetView showGridLines="0" topLeftCell="A462" workbookViewId="0">
      <selection activeCell="E475" sqref="E475"/>
    </sheetView>
  </sheetViews>
  <sheetFormatPr baseColWidth="10" defaultColWidth="12.7109375" defaultRowHeight="15" customHeight="1" x14ac:dyDescent="0.2"/>
  <cols>
    <col min="1" max="1" width="12.42578125" customWidth="1"/>
    <col min="2" max="2" width="55.140625" customWidth="1"/>
    <col min="3" max="3" width="21.42578125" hidden="1" customWidth="1"/>
    <col min="4" max="5" width="21.42578125" customWidth="1"/>
    <col min="6" max="21" width="11.42578125" customWidth="1"/>
  </cols>
  <sheetData>
    <row r="1" spans="1:21" ht="12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2.75" customHeight="1" x14ac:dyDescent="0.2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2.75" customHeight="1" x14ac:dyDescent="0.2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.75" customHeight="1" x14ac:dyDescent="0.2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.75" customHeight="1" x14ac:dyDescent="0.2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2.75" customHeight="1" x14ac:dyDescent="0.2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2.75" customHeight="1" x14ac:dyDescent="0.2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2.75" customHeight="1" x14ac:dyDescent="0.2">
      <c r="A8" s="1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2.75" customHeight="1" x14ac:dyDescent="0.2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2.75" customHeight="1" x14ac:dyDescent="0.2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2.75" customHeight="1" x14ac:dyDescent="0.2">
      <c r="A11" s="1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42" x14ac:dyDescent="0.2">
      <c r="A12" s="1"/>
      <c r="B12" s="6" t="s">
        <v>1</v>
      </c>
      <c r="C12" s="1"/>
      <c r="D12" s="122">
        <v>2.5000000000000001E-2</v>
      </c>
      <c r="E12" s="122">
        <v>2.4E-2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2.75" customHeight="1" x14ac:dyDescent="0.2">
      <c r="A13" s="150" t="s">
        <v>2</v>
      </c>
      <c r="B13" s="7" t="s">
        <v>3</v>
      </c>
      <c r="C13" s="8" t="s">
        <v>1149</v>
      </c>
      <c r="D13" s="8" t="s">
        <v>1153</v>
      </c>
      <c r="E13" s="8" t="s">
        <v>1154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0.25" customHeight="1" x14ac:dyDescent="0.2">
      <c r="A14" s="151"/>
      <c r="B14" s="9" t="s">
        <v>4</v>
      </c>
      <c r="C14" s="10">
        <v>45992</v>
      </c>
      <c r="D14" s="10">
        <v>46023</v>
      </c>
      <c r="E14" s="10">
        <v>46054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2.75" customHeight="1" x14ac:dyDescent="0.2">
      <c r="A15" s="11">
        <v>93</v>
      </c>
      <c r="B15" s="12" t="s">
        <v>5</v>
      </c>
      <c r="C15" s="120">
        <v>366580.34596814407</v>
      </c>
      <c r="D15" s="120">
        <f>IFERROR(C15*(1+$D$12),C15)</f>
        <v>375744.85461734765</v>
      </c>
      <c r="E15" s="120">
        <f>IFERROR(D15*(1+$E$12),D15)</f>
        <v>384762.73112816398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2.75" customHeight="1" x14ac:dyDescent="0.2">
      <c r="A16" s="11">
        <v>78</v>
      </c>
      <c r="B16" s="12" t="s">
        <v>6</v>
      </c>
      <c r="C16" s="13">
        <v>146959.67524060782</v>
      </c>
      <c r="D16" s="13">
        <f t="shared" ref="D16:D79" si="0">IFERROR(C16*(1+$D$12),C16)</f>
        <v>150633.667121623</v>
      </c>
      <c r="E16" s="13">
        <f t="shared" ref="E16:E79" si="1">IFERROR(D16*(1+$E$12),D16)</f>
        <v>154248.87513254196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2.75" customHeight="1" x14ac:dyDescent="0.2">
      <c r="A17" s="11">
        <v>358</v>
      </c>
      <c r="B17" s="12" t="s">
        <v>7</v>
      </c>
      <c r="C17" s="13">
        <v>566642.45286148926</v>
      </c>
      <c r="D17" s="13">
        <f t="shared" si="0"/>
        <v>580808.51418302639</v>
      </c>
      <c r="E17" s="13">
        <f t="shared" si="1"/>
        <v>594747.91852341907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2.75" customHeight="1" x14ac:dyDescent="0.2">
      <c r="A18" s="11">
        <v>16</v>
      </c>
      <c r="B18" s="12" t="s">
        <v>8</v>
      </c>
      <c r="C18" s="13">
        <v>124848</v>
      </c>
      <c r="D18" s="13">
        <f t="shared" si="0"/>
        <v>127969.19999999998</v>
      </c>
      <c r="E18" s="13">
        <f t="shared" si="1"/>
        <v>131040.46079999999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2.75" customHeight="1" x14ac:dyDescent="0.2">
      <c r="A19" s="11">
        <v>505</v>
      </c>
      <c r="B19" s="12" t="s">
        <v>9</v>
      </c>
      <c r="C19" s="13">
        <v>647274.72582187061</v>
      </c>
      <c r="D19" s="13">
        <f t="shared" si="0"/>
        <v>663456.59396741737</v>
      </c>
      <c r="E19" s="13">
        <f t="shared" si="1"/>
        <v>679379.55222263536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2.75" customHeight="1" x14ac:dyDescent="0.2">
      <c r="A20" s="11">
        <v>16</v>
      </c>
      <c r="B20" s="12" t="s">
        <v>10</v>
      </c>
      <c r="C20" s="13">
        <v>124848</v>
      </c>
      <c r="D20" s="13">
        <f t="shared" si="0"/>
        <v>127969.19999999998</v>
      </c>
      <c r="E20" s="13">
        <f t="shared" si="1"/>
        <v>131040.46079999999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2" customHeight="1" x14ac:dyDescent="0.2">
      <c r="A21" s="11">
        <v>302</v>
      </c>
      <c r="B21" s="12" t="s">
        <v>11</v>
      </c>
      <c r="C21" s="13">
        <v>135252</v>
      </c>
      <c r="D21" s="13">
        <f t="shared" si="0"/>
        <v>138633.29999999999</v>
      </c>
      <c r="E21" s="13">
        <f t="shared" si="1"/>
        <v>141960.49919999999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2.75" customHeight="1" x14ac:dyDescent="0.2">
      <c r="A22" s="11">
        <v>303</v>
      </c>
      <c r="B22" s="12" t="s">
        <v>12</v>
      </c>
      <c r="C22" s="13">
        <v>208205.01847586117</v>
      </c>
      <c r="D22" s="13">
        <f t="shared" si="0"/>
        <v>213410.14393775768</v>
      </c>
      <c r="E22" s="13">
        <f t="shared" si="1"/>
        <v>218531.98739226387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2.75" customHeight="1" x14ac:dyDescent="0.2">
      <c r="A23" s="11">
        <v>304</v>
      </c>
      <c r="B23" s="12" t="s">
        <v>13</v>
      </c>
      <c r="C23" s="13">
        <v>260779.17442156182</v>
      </c>
      <c r="D23" s="13">
        <f t="shared" si="0"/>
        <v>267298.65378210082</v>
      </c>
      <c r="E23" s="13">
        <f t="shared" si="1"/>
        <v>273713.82147287123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2.75" customHeight="1" x14ac:dyDescent="0.2">
      <c r="A24" s="11">
        <v>3600</v>
      </c>
      <c r="B24" s="12" t="s">
        <v>14</v>
      </c>
      <c r="C24" s="13">
        <v>195691.00003200001</v>
      </c>
      <c r="D24" s="13">
        <f t="shared" si="0"/>
        <v>200583.27503279998</v>
      </c>
      <c r="E24" s="13">
        <f t="shared" si="1"/>
        <v>205397.27363358717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2.75" customHeight="1" x14ac:dyDescent="0.2">
      <c r="A25" s="11">
        <v>3601</v>
      </c>
      <c r="B25" s="12" t="s">
        <v>15</v>
      </c>
      <c r="C25" s="13">
        <v>316268.28288000001</v>
      </c>
      <c r="D25" s="13">
        <f t="shared" si="0"/>
        <v>324174.98995199997</v>
      </c>
      <c r="E25" s="13">
        <f t="shared" si="1"/>
        <v>331955.18971084798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75" customHeight="1" x14ac:dyDescent="0.2">
      <c r="A26" s="11">
        <v>3610</v>
      </c>
      <c r="B26" s="12" t="s">
        <v>16</v>
      </c>
      <c r="C26" s="13">
        <v>36518.04</v>
      </c>
      <c r="D26" s="13">
        <f t="shared" si="0"/>
        <v>37430.990999999995</v>
      </c>
      <c r="E26" s="13">
        <f t="shared" si="1"/>
        <v>38329.334783999999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2.75" customHeight="1" x14ac:dyDescent="0.2">
      <c r="A27" s="11"/>
      <c r="B27" s="12" t="s">
        <v>17</v>
      </c>
      <c r="C27" s="13">
        <v>36512.933251490162</v>
      </c>
      <c r="D27" s="13">
        <f t="shared" si="0"/>
        <v>37425.756582777416</v>
      </c>
      <c r="E27" s="13">
        <f t="shared" si="1"/>
        <v>38323.974740764075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2.75" x14ac:dyDescent="0.2">
      <c r="A28" s="11"/>
      <c r="B28" s="12" t="s">
        <v>18</v>
      </c>
      <c r="C28" s="13">
        <v>35052.394350077935</v>
      </c>
      <c r="D28" s="13">
        <f t="shared" si="0"/>
        <v>35928.704208829877</v>
      </c>
      <c r="E28" s="13">
        <f t="shared" si="1"/>
        <v>36790.993109841795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9.25" customHeight="1" x14ac:dyDescent="0.2">
      <c r="A29" s="14"/>
      <c r="B29" s="15" t="s">
        <v>19</v>
      </c>
      <c r="C29" s="4">
        <v>0</v>
      </c>
      <c r="D29" s="4">
        <f t="shared" si="0"/>
        <v>0</v>
      </c>
      <c r="E29" s="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75" customHeight="1" x14ac:dyDescent="0.2">
      <c r="A30" s="16"/>
      <c r="B30" s="17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2.75" customHeight="1" x14ac:dyDescent="0.2">
      <c r="A31" s="11"/>
      <c r="B31" s="12" t="s">
        <v>21</v>
      </c>
      <c r="C31" s="18" t="s">
        <v>1150</v>
      </c>
      <c r="D31" s="18" t="str">
        <f t="shared" si="0"/>
        <v>AARBA</v>
      </c>
      <c r="E31" s="18" t="str">
        <f t="shared" si="1"/>
        <v>AARBA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75" customHeight="1" x14ac:dyDescent="0.2">
      <c r="A32" s="14"/>
      <c r="B32" s="15" t="s">
        <v>22</v>
      </c>
      <c r="C32" s="4">
        <v>0</v>
      </c>
      <c r="D32" s="4">
        <f t="shared" si="0"/>
        <v>0</v>
      </c>
      <c r="E32" s="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75" customHeight="1" x14ac:dyDescent="0.2">
      <c r="A33" s="11">
        <v>239</v>
      </c>
      <c r="B33" s="12" t="s">
        <v>23</v>
      </c>
      <c r="C33" s="13">
        <v>1002937.3878494439</v>
      </c>
      <c r="D33" s="13">
        <f t="shared" si="0"/>
        <v>1028010.82254568</v>
      </c>
      <c r="E33" s="13">
        <f t="shared" si="1"/>
        <v>1052683.0822867763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75" customHeight="1" x14ac:dyDescent="0.2">
      <c r="A34" s="11">
        <v>308</v>
      </c>
      <c r="B34" s="12" t="s">
        <v>24</v>
      </c>
      <c r="C34" s="13">
        <v>1153706.3846168721</v>
      </c>
      <c r="D34" s="13">
        <f t="shared" si="0"/>
        <v>1182549.0442322937</v>
      </c>
      <c r="E34" s="13">
        <f t="shared" si="1"/>
        <v>1210930.2212938687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3.5" customHeight="1" x14ac:dyDescent="0.2">
      <c r="A35" s="11">
        <v>464</v>
      </c>
      <c r="B35" s="12" t="s">
        <v>25</v>
      </c>
      <c r="C35" s="13">
        <v>1303895.8721078087</v>
      </c>
      <c r="D35" s="13">
        <f t="shared" si="0"/>
        <v>1336493.2689105037</v>
      </c>
      <c r="E35" s="13">
        <f t="shared" si="1"/>
        <v>1368569.1073643558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75" customHeight="1" x14ac:dyDescent="0.2">
      <c r="A36" s="11">
        <v>255</v>
      </c>
      <c r="B36" s="12" t="s">
        <v>26</v>
      </c>
      <c r="C36" s="13">
        <v>326167.13778578286</v>
      </c>
      <c r="D36" s="13">
        <f t="shared" si="0"/>
        <v>334321.31623042742</v>
      </c>
      <c r="E36" s="13">
        <f t="shared" si="1"/>
        <v>342345.0278199577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75" customHeight="1" x14ac:dyDescent="0.2">
      <c r="A37" s="11">
        <v>252</v>
      </c>
      <c r="B37" s="12" t="s">
        <v>27</v>
      </c>
      <c r="C37" s="13">
        <v>569850.78855082009</v>
      </c>
      <c r="D37" s="13">
        <f t="shared" si="0"/>
        <v>584097.05826459057</v>
      </c>
      <c r="E37" s="13">
        <f t="shared" si="1"/>
        <v>598115.38766294078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75" customHeight="1" x14ac:dyDescent="0.2">
      <c r="A38" s="11">
        <v>9686</v>
      </c>
      <c r="B38" s="12" t="s">
        <v>28</v>
      </c>
      <c r="C38" s="13">
        <v>424018.16200519621</v>
      </c>
      <c r="D38" s="13">
        <f t="shared" si="0"/>
        <v>434618.61605532607</v>
      </c>
      <c r="E38" s="13">
        <f t="shared" si="1"/>
        <v>445049.4628406539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75" customHeight="1" x14ac:dyDescent="0.2">
      <c r="A39" s="14"/>
      <c r="B39" s="15" t="s">
        <v>29</v>
      </c>
      <c r="C39" s="4">
        <v>0</v>
      </c>
      <c r="D39" s="4">
        <f t="shared" si="0"/>
        <v>0</v>
      </c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75" customHeight="1" x14ac:dyDescent="0.2">
      <c r="A40" s="11">
        <v>924</v>
      </c>
      <c r="B40" s="12" t="s">
        <v>30</v>
      </c>
      <c r="C40" s="13">
        <v>1110726.1132770225</v>
      </c>
      <c r="D40" s="13">
        <f t="shared" si="0"/>
        <v>1138494.266108948</v>
      </c>
      <c r="E40" s="13">
        <f t="shared" si="1"/>
        <v>1165818.1284955628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75" customHeight="1" x14ac:dyDescent="0.2">
      <c r="A41" s="11">
        <v>925</v>
      </c>
      <c r="B41" s="12" t="s">
        <v>31</v>
      </c>
      <c r="C41" s="13">
        <v>1274920.408283191</v>
      </c>
      <c r="D41" s="13">
        <f t="shared" si="0"/>
        <v>1306793.4184902706</v>
      </c>
      <c r="E41" s="13">
        <f t="shared" si="1"/>
        <v>1338156.4605340371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75" customHeight="1" x14ac:dyDescent="0.2">
      <c r="A42" s="11">
        <v>920</v>
      </c>
      <c r="B42" s="12" t="s">
        <v>32</v>
      </c>
      <c r="C42" s="13">
        <v>1274920.408283191</v>
      </c>
      <c r="D42" s="13">
        <f t="shared" si="0"/>
        <v>1306793.4184902706</v>
      </c>
      <c r="E42" s="13">
        <f t="shared" si="1"/>
        <v>1338156.4605340371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75" customHeight="1" x14ac:dyDescent="0.2">
      <c r="A43" s="11">
        <v>927</v>
      </c>
      <c r="B43" s="12" t="s">
        <v>33</v>
      </c>
      <c r="C43" s="13">
        <v>1274920.408283191</v>
      </c>
      <c r="D43" s="13">
        <f t="shared" si="0"/>
        <v>1306793.4184902706</v>
      </c>
      <c r="E43" s="13">
        <f t="shared" si="1"/>
        <v>1338156.4605340371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75" customHeight="1" x14ac:dyDescent="0.2">
      <c r="A44" s="11">
        <v>926</v>
      </c>
      <c r="B44" s="12" t="s">
        <v>34</v>
      </c>
      <c r="C44" s="13">
        <v>1274920.408283191</v>
      </c>
      <c r="D44" s="13">
        <f t="shared" si="0"/>
        <v>1306793.4184902706</v>
      </c>
      <c r="E44" s="13">
        <f t="shared" si="1"/>
        <v>1338156.4605340371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75" customHeight="1" x14ac:dyDescent="0.2">
      <c r="A45" s="11">
        <v>928</v>
      </c>
      <c r="B45" s="12" t="s">
        <v>35</v>
      </c>
      <c r="C45" s="13">
        <v>1274920.408283191</v>
      </c>
      <c r="D45" s="13">
        <f t="shared" si="0"/>
        <v>1306793.4184902706</v>
      </c>
      <c r="E45" s="13">
        <f t="shared" si="1"/>
        <v>1338156.4605340371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75" customHeight="1" x14ac:dyDescent="0.2">
      <c r="A46" s="11">
        <v>918</v>
      </c>
      <c r="B46" s="12" t="s">
        <v>36</v>
      </c>
      <c r="C46" s="13">
        <v>1274920.408283191</v>
      </c>
      <c r="D46" s="13">
        <f t="shared" si="0"/>
        <v>1306793.4184902706</v>
      </c>
      <c r="E46" s="13">
        <f t="shared" si="1"/>
        <v>1338156.4605340371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75" customHeight="1" x14ac:dyDescent="0.2">
      <c r="A47" s="11">
        <v>931</v>
      </c>
      <c r="B47" s="12" t="s">
        <v>37</v>
      </c>
      <c r="C47" s="13">
        <v>1274920.408283191</v>
      </c>
      <c r="D47" s="13">
        <f t="shared" si="0"/>
        <v>1306793.4184902706</v>
      </c>
      <c r="E47" s="13">
        <f t="shared" si="1"/>
        <v>1338156.4605340371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75" customHeight="1" x14ac:dyDescent="0.2">
      <c r="A48" s="19"/>
      <c r="B48" s="15" t="s">
        <v>38</v>
      </c>
      <c r="C48" s="4">
        <v>0</v>
      </c>
      <c r="D48" s="4">
        <f t="shared" si="0"/>
        <v>0</v>
      </c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75" customHeight="1" x14ac:dyDescent="0.2">
      <c r="A49" s="11">
        <v>933</v>
      </c>
      <c r="B49" s="12" t="s">
        <v>39</v>
      </c>
      <c r="C49" s="13">
        <v>8531280</v>
      </c>
      <c r="D49" s="13">
        <f t="shared" si="0"/>
        <v>8744562</v>
      </c>
      <c r="E49" s="13">
        <f t="shared" si="1"/>
        <v>8954431.4879999999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75" customHeight="1" x14ac:dyDescent="0.2">
      <c r="A50" s="11">
        <v>934</v>
      </c>
      <c r="B50" s="12" t="s">
        <v>40</v>
      </c>
      <c r="C50" s="13">
        <v>9883800</v>
      </c>
      <c r="D50" s="13">
        <f t="shared" si="0"/>
        <v>10130895</v>
      </c>
      <c r="E50" s="13">
        <f t="shared" si="1"/>
        <v>10374036.48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75" customHeight="1" x14ac:dyDescent="0.2">
      <c r="A51" s="19"/>
      <c r="B51" s="15" t="s">
        <v>41</v>
      </c>
      <c r="C51" s="4">
        <v>0</v>
      </c>
      <c r="D51" s="4">
        <f t="shared" si="0"/>
        <v>0</v>
      </c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75" customHeight="1" x14ac:dyDescent="0.2">
      <c r="A52" s="20">
        <v>606</v>
      </c>
      <c r="B52" s="17" t="s">
        <v>42</v>
      </c>
      <c r="C52" s="21" t="s">
        <v>43</v>
      </c>
      <c r="D52" s="21" t="str">
        <f t="shared" si="0"/>
        <v>presupuesto</v>
      </c>
      <c r="E52" s="21" t="str">
        <f t="shared" si="1"/>
        <v>presupuesto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75" customHeight="1" x14ac:dyDescent="0.2">
      <c r="A53" s="20">
        <v>921</v>
      </c>
      <c r="B53" s="17" t="s">
        <v>44</v>
      </c>
      <c r="C53" s="21" t="s">
        <v>43</v>
      </c>
      <c r="D53" s="21" t="str">
        <f t="shared" si="0"/>
        <v>presupuesto</v>
      </c>
      <c r="E53" s="21" t="str">
        <f t="shared" si="1"/>
        <v>presupuesto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75" customHeight="1" x14ac:dyDescent="0.2">
      <c r="A54" s="20">
        <v>935</v>
      </c>
      <c r="B54" s="17" t="s">
        <v>45</v>
      </c>
      <c r="C54" s="21" t="s">
        <v>43</v>
      </c>
      <c r="D54" s="21" t="str">
        <f t="shared" si="0"/>
        <v>presupuesto</v>
      </c>
      <c r="E54" s="21" t="str">
        <f t="shared" si="1"/>
        <v>presupuesto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75" customHeight="1" x14ac:dyDescent="0.2">
      <c r="A55" s="20">
        <v>652</v>
      </c>
      <c r="B55" s="17" t="s">
        <v>46</v>
      </c>
      <c r="C55" s="21" t="s">
        <v>43</v>
      </c>
      <c r="D55" s="21" t="str">
        <f t="shared" si="0"/>
        <v>presupuesto</v>
      </c>
      <c r="E55" s="21" t="str">
        <f t="shared" si="1"/>
        <v>presupuesto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75" customHeight="1" x14ac:dyDescent="0.2">
      <c r="A56" s="20">
        <v>3614</v>
      </c>
      <c r="B56" s="17" t="s">
        <v>47</v>
      </c>
      <c r="C56" s="21" t="s">
        <v>43</v>
      </c>
      <c r="D56" s="21" t="str">
        <f t="shared" si="0"/>
        <v>presupuesto</v>
      </c>
      <c r="E56" s="21" t="str">
        <f t="shared" si="1"/>
        <v>presupuesto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75" customHeight="1" x14ac:dyDescent="0.2">
      <c r="A57" s="20">
        <v>900651</v>
      </c>
      <c r="B57" s="17" t="s">
        <v>48</v>
      </c>
      <c r="C57" s="21" t="s">
        <v>43</v>
      </c>
      <c r="D57" s="21" t="str">
        <f t="shared" si="0"/>
        <v>presupuesto</v>
      </c>
      <c r="E57" s="21" t="str">
        <f t="shared" si="1"/>
        <v>presupuesto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75" customHeight="1" x14ac:dyDescent="0.2">
      <c r="A58" s="20">
        <v>35</v>
      </c>
      <c r="B58" s="17" t="s">
        <v>49</v>
      </c>
      <c r="C58" s="21" t="s">
        <v>43</v>
      </c>
      <c r="D58" s="21" t="str">
        <f t="shared" si="0"/>
        <v>presupuesto</v>
      </c>
      <c r="E58" s="21" t="str">
        <f t="shared" si="1"/>
        <v>presupuesto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75" customHeight="1" x14ac:dyDescent="0.2">
      <c r="A59" s="20">
        <v>20</v>
      </c>
      <c r="B59" s="17" t="s">
        <v>50</v>
      </c>
      <c r="C59" s="21" t="s">
        <v>43</v>
      </c>
      <c r="D59" s="21" t="str">
        <f t="shared" si="0"/>
        <v>presupuesto</v>
      </c>
      <c r="E59" s="21" t="str">
        <f t="shared" si="1"/>
        <v>presupuesto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75" customHeight="1" x14ac:dyDescent="0.2">
      <c r="A60" s="20">
        <v>379</v>
      </c>
      <c r="B60" s="17" t="s">
        <v>51</v>
      </c>
      <c r="C60" s="21" t="s">
        <v>43</v>
      </c>
      <c r="D60" s="21" t="str">
        <f t="shared" si="0"/>
        <v>presupuesto</v>
      </c>
      <c r="E60" s="21" t="str">
        <f t="shared" si="1"/>
        <v>presupuesto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75" customHeight="1" x14ac:dyDescent="0.2">
      <c r="A61" s="20">
        <v>3617</v>
      </c>
      <c r="B61" s="17" t="s">
        <v>52</v>
      </c>
      <c r="C61" s="21" t="s">
        <v>43</v>
      </c>
      <c r="D61" s="21" t="str">
        <f t="shared" si="0"/>
        <v>presupuesto</v>
      </c>
      <c r="E61" s="21" t="str">
        <f t="shared" si="1"/>
        <v>presupuesto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75" customHeight="1" x14ac:dyDescent="0.2">
      <c r="A62" s="20">
        <v>3618</v>
      </c>
      <c r="B62" s="17" t="s">
        <v>53</v>
      </c>
      <c r="C62" s="21" t="s">
        <v>43</v>
      </c>
      <c r="D62" s="21" t="str">
        <f t="shared" si="0"/>
        <v>presupuesto</v>
      </c>
      <c r="E62" s="21" t="str">
        <f t="shared" si="1"/>
        <v>presupuesto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75" customHeight="1" x14ac:dyDescent="0.2">
      <c r="A63" s="20">
        <v>10</v>
      </c>
      <c r="B63" s="17" t="s">
        <v>54</v>
      </c>
      <c r="C63" s="21" t="s">
        <v>43</v>
      </c>
      <c r="D63" s="21" t="str">
        <f t="shared" si="0"/>
        <v>presupuesto</v>
      </c>
      <c r="E63" s="21" t="str">
        <f t="shared" si="1"/>
        <v>presupuesto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75" customHeight="1" x14ac:dyDescent="0.2">
      <c r="A64" s="20">
        <v>1011</v>
      </c>
      <c r="B64" s="17" t="s">
        <v>55</v>
      </c>
      <c r="C64" s="21" t="s">
        <v>43</v>
      </c>
      <c r="D64" s="21" t="str">
        <f t="shared" si="0"/>
        <v>presupuesto</v>
      </c>
      <c r="E64" s="21" t="str">
        <f t="shared" si="1"/>
        <v>presupuesto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75" customHeight="1" x14ac:dyDescent="0.2">
      <c r="A65" s="20">
        <v>937</v>
      </c>
      <c r="B65" s="17" t="s">
        <v>56</v>
      </c>
      <c r="C65" s="21" t="s">
        <v>43</v>
      </c>
      <c r="D65" s="21" t="str">
        <f t="shared" si="0"/>
        <v>presupuesto</v>
      </c>
      <c r="E65" s="21" t="str">
        <f t="shared" si="1"/>
        <v>presupuesto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75" customHeight="1" x14ac:dyDescent="0.2">
      <c r="A66" s="20">
        <v>11</v>
      </c>
      <c r="B66" s="17" t="s">
        <v>57</v>
      </c>
      <c r="C66" s="21" t="s">
        <v>43</v>
      </c>
      <c r="D66" s="21" t="str">
        <f t="shared" si="0"/>
        <v>presupuesto</v>
      </c>
      <c r="E66" s="21" t="str">
        <f t="shared" si="1"/>
        <v>presupuesto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75" customHeight="1" x14ac:dyDescent="0.2">
      <c r="A67" s="19"/>
      <c r="B67" s="15" t="s">
        <v>58</v>
      </c>
      <c r="C67" s="4">
        <v>0</v>
      </c>
      <c r="D67" s="4">
        <f t="shared" si="0"/>
        <v>0</v>
      </c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75" customHeight="1" x14ac:dyDescent="0.2">
      <c r="A68" s="20">
        <v>1012</v>
      </c>
      <c r="B68" s="17" t="s">
        <v>59</v>
      </c>
      <c r="C68" s="21" t="s">
        <v>43</v>
      </c>
      <c r="D68" s="21" t="str">
        <f t="shared" si="0"/>
        <v>presupuesto</v>
      </c>
      <c r="E68" s="21" t="str">
        <f t="shared" si="1"/>
        <v>presupuesto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75" customHeight="1" x14ac:dyDescent="0.2">
      <c r="A69" s="20">
        <v>1013</v>
      </c>
      <c r="B69" s="17" t="s">
        <v>60</v>
      </c>
      <c r="C69" s="21" t="s">
        <v>43</v>
      </c>
      <c r="D69" s="21" t="str">
        <f t="shared" si="0"/>
        <v>presupuesto</v>
      </c>
      <c r="E69" s="21" t="str">
        <f t="shared" si="1"/>
        <v>presupuesto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75" customHeight="1" x14ac:dyDescent="0.2">
      <c r="A70" s="20">
        <v>45</v>
      </c>
      <c r="B70" s="17" t="s">
        <v>61</v>
      </c>
      <c r="C70" s="21" t="s">
        <v>43</v>
      </c>
      <c r="D70" s="21" t="str">
        <f t="shared" si="0"/>
        <v>presupuesto</v>
      </c>
      <c r="E70" s="21" t="str">
        <f t="shared" si="1"/>
        <v>presupuesto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75" customHeight="1" x14ac:dyDescent="0.2">
      <c r="A71" s="20">
        <v>463</v>
      </c>
      <c r="B71" s="17" t="s">
        <v>62</v>
      </c>
      <c r="C71" s="21" t="s">
        <v>43</v>
      </c>
      <c r="D71" s="21" t="str">
        <f t="shared" si="0"/>
        <v>presupuesto</v>
      </c>
      <c r="E71" s="21" t="str">
        <f t="shared" si="1"/>
        <v>presupuesto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75" customHeight="1" x14ac:dyDescent="0.2">
      <c r="A72" s="20">
        <v>48</v>
      </c>
      <c r="B72" s="17" t="s">
        <v>58</v>
      </c>
      <c r="C72" s="21" t="s">
        <v>43</v>
      </c>
      <c r="D72" s="21" t="str">
        <f t="shared" si="0"/>
        <v>presupuesto</v>
      </c>
      <c r="E72" s="21" t="str">
        <f t="shared" si="1"/>
        <v>presupuesto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75" customHeight="1" x14ac:dyDescent="0.2">
      <c r="A73" s="20">
        <v>380</v>
      </c>
      <c r="B73" s="17" t="s">
        <v>63</v>
      </c>
      <c r="C73" s="21" t="s">
        <v>43</v>
      </c>
      <c r="D73" s="21" t="str">
        <f t="shared" si="0"/>
        <v>presupuesto</v>
      </c>
      <c r="E73" s="21" t="str">
        <f t="shared" si="1"/>
        <v>presupuesto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75" customHeight="1" x14ac:dyDescent="0.2">
      <c r="A74" s="19"/>
      <c r="B74" s="15" t="s">
        <v>64</v>
      </c>
      <c r="C74" s="4">
        <v>0</v>
      </c>
      <c r="D74" s="4">
        <f t="shared" si="0"/>
        <v>0</v>
      </c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75" customHeight="1" x14ac:dyDescent="0.2">
      <c r="A75" s="16"/>
      <c r="B75" s="17" t="s">
        <v>65</v>
      </c>
      <c r="C75" s="13">
        <v>429400.11501706176</v>
      </c>
      <c r="D75" s="13">
        <f t="shared" si="0"/>
        <v>440135.11789248826</v>
      </c>
      <c r="E75" s="13">
        <f t="shared" si="1"/>
        <v>450698.36072190799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75" customHeight="1" x14ac:dyDescent="0.2">
      <c r="A76" s="16"/>
      <c r="B76" s="17" t="s">
        <v>66</v>
      </c>
      <c r="C76" s="13">
        <v>694129.16271029762</v>
      </c>
      <c r="D76" s="13">
        <f t="shared" si="0"/>
        <v>711482.391778055</v>
      </c>
      <c r="E76" s="13">
        <f t="shared" si="1"/>
        <v>728557.96918072831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75" customHeight="1" x14ac:dyDescent="0.2">
      <c r="A77" s="16"/>
      <c r="B77" s="17" t="s">
        <v>67</v>
      </c>
      <c r="C77" s="13">
        <v>915659.74655400962</v>
      </c>
      <c r="D77" s="13">
        <f t="shared" si="0"/>
        <v>938551.24021785974</v>
      </c>
      <c r="E77" s="13">
        <f t="shared" si="1"/>
        <v>961076.46998308843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75" customHeight="1" x14ac:dyDescent="0.2">
      <c r="A78" s="16"/>
      <c r="B78" s="17" t="s">
        <v>68</v>
      </c>
      <c r="C78" s="13">
        <v>1277493.0334987391</v>
      </c>
      <c r="D78" s="13">
        <f t="shared" si="0"/>
        <v>1309430.3593362074</v>
      </c>
      <c r="E78" s="13">
        <f t="shared" si="1"/>
        <v>1340856.6879602764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75" customHeight="1" x14ac:dyDescent="0.2">
      <c r="A79" s="16"/>
      <c r="B79" s="17" t="s">
        <v>69</v>
      </c>
      <c r="C79" s="13">
        <v>1942084.7850298756</v>
      </c>
      <c r="D79" s="13">
        <f t="shared" si="0"/>
        <v>1990636.9046556223</v>
      </c>
      <c r="E79" s="13">
        <f t="shared" si="1"/>
        <v>2038412.1903673573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75" customHeight="1" x14ac:dyDescent="0.2">
      <c r="A80" s="16"/>
      <c r="B80" s="17" t="s">
        <v>70</v>
      </c>
      <c r="C80" s="13">
        <v>3245423.0533103812</v>
      </c>
      <c r="D80" s="13">
        <f t="shared" ref="D80:D143" si="2">IFERROR(C80*(1+$D$12),C80)</f>
        <v>3326558.6296431404</v>
      </c>
      <c r="E80" s="13">
        <f t="shared" ref="E80:E143" si="3">IFERROR(D80*(1+$E$12),D80)</f>
        <v>3406396.036754576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customHeight="1" x14ac:dyDescent="0.2">
      <c r="A81" s="16"/>
      <c r="B81" s="17" t="s">
        <v>71</v>
      </c>
      <c r="C81" s="13">
        <v>4607836.1439492097</v>
      </c>
      <c r="D81" s="13">
        <f t="shared" si="2"/>
        <v>4723032.0475479392</v>
      </c>
      <c r="E81" s="13">
        <f t="shared" si="3"/>
        <v>4836384.8166890899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customHeight="1" x14ac:dyDescent="0.2">
      <c r="A82" s="16"/>
      <c r="B82" s="17" t="s">
        <v>72</v>
      </c>
      <c r="C82" s="13">
        <v>5493958.4793240577</v>
      </c>
      <c r="D82" s="13">
        <f t="shared" si="2"/>
        <v>5631307.4413071582</v>
      </c>
      <c r="E82" s="13">
        <f t="shared" si="3"/>
        <v>5766458.8198985299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customHeight="1" x14ac:dyDescent="0.2">
      <c r="A83" s="16"/>
      <c r="B83" s="17" t="s">
        <v>73</v>
      </c>
      <c r="C83" s="13">
        <v>242577.77296896005</v>
      </c>
      <c r="D83" s="13">
        <f t="shared" si="2"/>
        <v>248642.21729318405</v>
      </c>
      <c r="E83" s="13">
        <f t="shared" si="3"/>
        <v>254609.63050822046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customHeight="1" x14ac:dyDescent="0.2">
      <c r="A84" s="16"/>
      <c r="B84" s="17" t="s">
        <v>74</v>
      </c>
      <c r="C84" s="13">
        <v>285385.61525760003</v>
      </c>
      <c r="D84" s="13">
        <f t="shared" si="2"/>
        <v>292520.25563904003</v>
      </c>
      <c r="E84" s="13">
        <f t="shared" si="3"/>
        <v>299540.74177437701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customHeight="1" x14ac:dyDescent="0.2">
      <c r="A85" s="19"/>
      <c r="B85" s="15" t="s">
        <v>75</v>
      </c>
      <c r="C85" s="4">
        <v>0</v>
      </c>
      <c r="D85" s="4">
        <f t="shared" si="2"/>
        <v>0</v>
      </c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customHeight="1" x14ac:dyDescent="0.2">
      <c r="A86" s="16"/>
      <c r="B86" s="17" t="s">
        <v>67</v>
      </c>
      <c r="C86" s="13">
        <v>1027311.1608112406</v>
      </c>
      <c r="D86" s="13">
        <f t="shared" si="2"/>
        <v>1052993.9398315214</v>
      </c>
      <c r="E86" s="13">
        <f t="shared" si="3"/>
        <v>1078265.7943874779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customHeight="1" x14ac:dyDescent="0.2">
      <c r="A87" s="16"/>
      <c r="B87" s="17" t="s">
        <v>68</v>
      </c>
      <c r="C87" s="13">
        <v>1355176.4248999343</v>
      </c>
      <c r="D87" s="13">
        <f t="shared" si="2"/>
        <v>1389055.8355224326</v>
      </c>
      <c r="E87" s="13">
        <f t="shared" si="3"/>
        <v>1422393.1755749709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 x14ac:dyDescent="0.2">
      <c r="A88" s="16"/>
      <c r="B88" s="17" t="s">
        <v>69</v>
      </c>
      <c r="C88" s="13">
        <v>1890689.6895781336</v>
      </c>
      <c r="D88" s="13">
        <f t="shared" si="2"/>
        <v>1937956.9318175868</v>
      </c>
      <c r="E88" s="13">
        <f t="shared" si="3"/>
        <v>1984467.8981812089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 x14ac:dyDescent="0.2">
      <c r="A89" s="16"/>
      <c r="B89" s="17" t="s">
        <v>70</v>
      </c>
      <c r="C89" s="13">
        <v>2874285.4818442152</v>
      </c>
      <c r="D89" s="13">
        <f t="shared" si="2"/>
        <v>2946142.6188903204</v>
      </c>
      <c r="E89" s="13">
        <f t="shared" si="3"/>
        <v>3016850.0417436883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 x14ac:dyDescent="0.2">
      <c r="A90" s="16"/>
      <c r="B90" s="17" t="s">
        <v>71</v>
      </c>
      <c r="C90" s="13">
        <v>4803226.118899364</v>
      </c>
      <c r="D90" s="13">
        <f t="shared" si="2"/>
        <v>4923306.771871848</v>
      </c>
      <c r="E90" s="13">
        <f t="shared" si="3"/>
        <v>5041466.1343967728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 x14ac:dyDescent="0.2">
      <c r="A91" s="16"/>
      <c r="B91" s="17" t="s">
        <v>72</v>
      </c>
      <c r="C91" s="13">
        <v>6819597.4930448299</v>
      </c>
      <c r="D91" s="13">
        <f t="shared" si="2"/>
        <v>6990087.4303709501</v>
      </c>
      <c r="E91" s="13">
        <f t="shared" si="3"/>
        <v>7157849.5286998535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 x14ac:dyDescent="0.2">
      <c r="A92" s="14"/>
      <c r="B92" s="15" t="s">
        <v>76</v>
      </c>
      <c r="C92" s="4">
        <v>0</v>
      </c>
      <c r="D92" s="4">
        <f t="shared" si="2"/>
        <v>0</v>
      </c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2">
      <c r="A93" s="11" t="s">
        <v>77</v>
      </c>
      <c r="B93" s="22" t="s">
        <v>78</v>
      </c>
      <c r="C93" s="18" t="s">
        <v>43</v>
      </c>
      <c r="D93" s="18" t="str">
        <f t="shared" si="2"/>
        <v>presupuesto</v>
      </c>
      <c r="E93" s="18" t="str">
        <f t="shared" si="3"/>
        <v>presupuesto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2">
      <c r="A94" s="11" t="s">
        <v>77</v>
      </c>
      <c r="B94" s="22" t="s">
        <v>79</v>
      </c>
      <c r="C94" s="18" t="s">
        <v>43</v>
      </c>
      <c r="D94" s="18" t="str">
        <f t="shared" si="2"/>
        <v>presupuesto</v>
      </c>
      <c r="E94" s="18" t="str">
        <f t="shared" si="3"/>
        <v>presupuesto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2">
      <c r="A95" s="11" t="s">
        <v>77</v>
      </c>
      <c r="B95" s="22" t="s">
        <v>80</v>
      </c>
      <c r="C95" s="18" t="s">
        <v>43</v>
      </c>
      <c r="D95" s="18" t="str">
        <f t="shared" si="2"/>
        <v>presupuesto</v>
      </c>
      <c r="E95" s="18" t="str">
        <f t="shared" si="3"/>
        <v>presupuesto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2">
      <c r="A96" s="11" t="s">
        <v>77</v>
      </c>
      <c r="B96" s="22" t="s">
        <v>81</v>
      </c>
      <c r="C96" s="18" t="s">
        <v>43</v>
      </c>
      <c r="D96" s="18" t="str">
        <f t="shared" si="2"/>
        <v>presupuesto</v>
      </c>
      <c r="E96" s="18" t="str">
        <f t="shared" si="3"/>
        <v>presupuesto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2">
      <c r="A97" s="11" t="s">
        <v>77</v>
      </c>
      <c r="B97" s="22" t="s">
        <v>82</v>
      </c>
      <c r="C97" s="18" t="s">
        <v>43</v>
      </c>
      <c r="D97" s="18" t="str">
        <f t="shared" si="2"/>
        <v>presupuesto</v>
      </c>
      <c r="E97" s="18" t="str">
        <f t="shared" si="3"/>
        <v>presupuesto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2">
      <c r="A98" s="11" t="s">
        <v>77</v>
      </c>
      <c r="B98" s="22" t="s">
        <v>83</v>
      </c>
      <c r="C98" s="18" t="s">
        <v>43</v>
      </c>
      <c r="D98" s="18" t="str">
        <f t="shared" si="2"/>
        <v>presupuesto</v>
      </c>
      <c r="E98" s="18" t="str">
        <f t="shared" si="3"/>
        <v>presupuesto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2">
      <c r="A99" s="11" t="s">
        <v>77</v>
      </c>
      <c r="B99" s="22" t="s">
        <v>84</v>
      </c>
      <c r="C99" s="18" t="s">
        <v>43</v>
      </c>
      <c r="D99" s="18" t="str">
        <f t="shared" si="2"/>
        <v>presupuesto</v>
      </c>
      <c r="E99" s="18" t="str">
        <f t="shared" si="3"/>
        <v>presupuesto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2">
      <c r="A100" s="11" t="s">
        <v>77</v>
      </c>
      <c r="B100" s="22" t="s">
        <v>85</v>
      </c>
      <c r="C100" s="18" t="s">
        <v>43</v>
      </c>
      <c r="D100" s="18" t="str">
        <f t="shared" si="2"/>
        <v>presupuesto</v>
      </c>
      <c r="E100" s="18" t="str">
        <f t="shared" si="3"/>
        <v>presupuesto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2">
      <c r="A101" s="11" t="s">
        <v>77</v>
      </c>
      <c r="B101" s="22" t="s">
        <v>86</v>
      </c>
      <c r="C101" s="18" t="s">
        <v>43</v>
      </c>
      <c r="D101" s="18" t="str">
        <f t="shared" si="2"/>
        <v>presupuesto</v>
      </c>
      <c r="E101" s="18" t="str">
        <f t="shared" si="3"/>
        <v>presupuesto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2">
      <c r="A102" s="11" t="s">
        <v>77</v>
      </c>
      <c r="B102" s="22" t="s">
        <v>87</v>
      </c>
      <c r="C102" s="18" t="s">
        <v>43</v>
      </c>
      <c r="D102" s="18" t="str">
        <f t="shared" si="2"/>
        <v>presupuesto</v>
      </c>
      <c r="E102" s="18" t="str">
        <f t="shared" si="3"/>
        <v>presupuesto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2">
      <c r="A103" s="11" t="s">
        <v>77</v>
      </c>
      <c r="B103" s="22" t="s">
        <v>88</v>
      </c>
      <c r="C103" s="18" t="s">
        <v>43</v>
      </c>
      <c r="D103" s="18" t="str">
        <f t="shared" si="2"/>
        <v>presupuesto</v>
      </c>
      <c r="E103" s="18" t="str">
        <f t="shared" si="3"/>
        <v>presupuesto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2">
      <c r="A104" s="11" t="s">
        <v>77</v>
      </c>
      <c r="B104" s="22" t="s">
        <v>89</v>
      </c>
      <c r="C104" s="18" t="s">
        <v>43</v>
      </c>
      <c r="D104" s="18" t="str">
        <f t="shared" si="2"/>
        <v>presupuesto</v>
      </c>
      <c r="E104" s="18" t="str">
        <f t="shared" si="3"/>
        <v>presupuesto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2">
      <c r="A105" s="11" t="s">
        <v>77</v>
      </c>
      <c r="B105" s="22" t="s">
        <v>90</v>
      </c>
      <c r="C105" s="18" t="s">
        <v>43</v>
      </c>
      <c r="D105" s="18" t="str">
        <f t="shared" si="2"/>
        <v>presupuesto</v>
      </c>
      <c r="E105" s="18" t="str">
        <f t="shared" si="3"/>
        <v>presupuesto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2">
      <c r="A106" s="11" t="s">
        <v>77</v>
      </c>
      <c r="B106" s="22" t="s">
        <v>91</v>
      </c>
      <c r="C106" s="18" t="s">
        <v>43</v>
      </c>
      <c r="D106" s="18" t="str">
        <f t="shared" si="2"/>
        <v>presupuesto</v>
      </c>
      <c r="E106" s="18" t="str">
        <f t="shared" si="3"/>
        <v>presupuesto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2">
      <c r="A107" s="11" t="s">
        <v>77</v>
      </c>
      <c r="B107" s="22" t="s">
        <v>92</v>
      </c>
      <c r="C107" s="18" t="s">
        <v>43</v>
      </c>
      <c r="D107" s="18" t="str">
        <f t="shared" si="2"/>
        <v>presupuesto</v>
      </c>
      <c r="E107" s="18" t="str">
        <f t="shared" si="3"/>
        <v>presupuesto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2">
      <c r="A108" s="11" t="s">
        <v>77</v>
      </c>
      <c r="B108" s="22" t="s">
        <v>93</v>
      </c>
      <c r="C108" s="18" t="s">
        <v>43</v>
      </c>
      <c r="D108" s="18" t="str">
        <f t="shared" si="2"/>
        <v>presupuesto</v>
      </c>
      <c r="E108" s="18" t="str">
        <f t="shared" si="3"/>
        <v>presupuesto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2">
      <c r="A109" s="11" t="s">
        <v>77</v>
      </c>
      <c r="B109" s="22" t="s">
        <v>94</v>
      </c>
      <c r="C109" s="18" t="s">
        <v>43</v>
      </c>
      <c r="D109" s="18" t="str">
        <f t="shared" si="2"/>
        <v>presupuesto</v>
      </c>
      <c r="E109" s="18" t="str">
        <f t="shared" si="3"/>
        <v>presupuesto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2">
      <c r="A110" s="11" t="s">
        <v>77</v>
      </c>
      <c r="B110" s="22" t="s">
        <v>95</v>
      </c>
      <c r="C110" s="18" t="s">
        <v>43</v>
      </c>
      <c r="D110" s="18" t="str">
        <f t="shared" si="2"/>
        <v>presupuesto</v>
      </c>
      <c r="E110" s="18" t="str">
        <f t="shared" si="3"/>
        <v>presupuesto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2">
      <c r="A111" s="11" t="s">
        <v>77</v>
      </c>
      <c r="B111" s="22" t="s">
        <v>96</v>
      </c>
      <c r="C111" s="18" t="s">
        <v>43</v>
      </c>
      <c r="D111" s="18" t="str">
        <f t="shared" si="2"/>
        <v>presupuesto</v>
      </c>
      <c r="E111" s="18" t="str">
        <f t="shared" si="3"/>
        <v>presupuesto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2">
      <c r="A112" s="11" t="s">
        <v>77</v>
      </c>
      <c r="B112" s="22" t="s">
        <v>97</v>
      </c>
      <c r="C112" s="18" t="s">
        <v>43</v>
      </c>
      <c r="D112" s="18" t="str">
        <f t="shared" si="2"/>
        <v>presupuesto</v>
      </c>
      <c r="E112" s="18" t="str">
        <f t="shared" si="3"/>
        <v>presupuesto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2">
      <c r="A113" s="14" t="s">
        <v>77</v>
      </c>
      <c r="B113" s="15" t="s">
        <v>98</v>
      </c>
      <c r="C113" s="4">
        <v>0</v>
      </c>
      <c r="D113" s="4">
        <f t="shared" si="2"/>
        <v>0</v>
      </c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2">
      <c r="A114" s="16"/>
      <c r="B114" s="17" t="s">
        <v>99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2">
      <c r="A115" s="14"/>
      <c r="B115" s="15" t="s">
        <v>100</v>
      </c>
      <c r="C115" s="4">
        <v>0</v>
      </c>
      <c r="D115" s="4">
        <f t="shared" si="2"/>
        <v>0</v>
      </c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2">
      <c r="A116" s="11">
        <v>5500</v>
      </c>
      <c r="B116" s="23" t="s">
        <v>101</v>
      </c>
      <c r="C116" s="13">
        <v>574583.44764217432</v>
      </c>
      <c r="D116" s="13">
        <f t="shared" si="2"/>
        <v>588948.03383322863</v>
      </c>
      <c r="E116" s="13">
        <f t="shared" si="3"/>
        <v>603082.78664522618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2">
      <c r="A117" s="11">
        <v>5501</v>
      </c>
      <c r="B117" s="23" t="s">
        <v>102</v>
      </c>
      <c r="C117" s="13">
        <v>842703.07289930596</v>
      </c>
      <c r="D117" s="13">
        <f t="shared" si="2"/>
        <v>863770.64972178859</v>
      </c>
      <c r="E117" s="13">
        <f t="shared" si="3"/>
        <v>884501.1453151115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2">
      <c r="A118" s="11" t="s">
        <v>103</v>
      </c>
      <c r="B118" s="23" t="s">
        <v>104</v>
      </c>
      <c r="C118" s="13">
        <v>1610.5031164798693</v>
      </c>
      <c r="D118" s="13">
        <f t="shared" si="2"/>
        <v>1650.765694391866</v>
      </c>
      <c r="E118" s="13">
        <f t="shared" si="3"/>
        <v>1690.3840710572708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2">
      <c r="A119" s="14"/>
      <c r="B119" s="15" t="s">
        <v>105</v>
      </c>
      <c r="C119" s="4">
        <v>0</v>
      </c>
      <c r="D119" s="4">
        <f t="shared" si="2"/>
        <v>0</v>
      </c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2">
      <c r="A120" s="11">
        <v>448</v>
      </c>
      <c r="B120" s="23" t="s">
        <v>106</v>
      </c>
      <c r="C120" s="13">
        <v>192474</v>
      </c>
      <c r="D120" s="13">
        <f t="shared" si="2"/>
        <v>197285.84999999998</v>
      </c>
      <c r="E120" s="13">
        <f t="shared" si="3"/>
        <v>202020.71039999998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2">
      <c r="A121" s="11">
        <v>452</v>
      </c>
      <c r="B121" s="23" t="s">
        <v>107</v>
      </c>
      <c r="C121" s="13">
        <v>192474</v>
      </c>
      <c r="D121" s="13">
        <f t="shared" si="2"/>
        <v>197285.84999999998</v>
      </c>
      <c r="E121" s="13">
        <f t="shared" si="3"/>
        <v>202020.71039999998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2">
      <c r="A122" s="11">
        <v>449</v>
      </c>
      <c r="B122" s="23" t="s">
        <v>108</v>
      </c>
      <c r="C122" s="13">
        <v>192474</v>
      </c>
      <c r="D122" s="13">
        <f t="shared" si="2"/>
        <v>197285.84999999998</v>
      </c>
      <c r="E122" s="13">
        <f t="shared" si="3"/>
        <v>202020.71039999998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2">
      <c r="A123" s="11">
        <v>435</v>
      </c>
      <c r="B123" s="23" t="s">
        <v>109</v>
      </c>
      <c r="C123" s="13">
        <v>192474</v>
      </c>
      <c r="D123" s="13">
        <f t="shared" si="2"/>
        <v>197285.84999999998</v>
      </c>
      <c r="E123" s="13">
        <f t="shared" si="3"/>
        <v>202020.71039999998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2">
      <c r="A124" s="11">
        <v>431</v>
      </c>
      <c r="B124" s="23" t="s">
        <v>110</v>
      </c>
      <c r="C124" s="13">
        <v>1404540</v>
      </c>
      <c r="D124" s="13">
        <f t="shared" si="2"/>
        <v>1439653.4999999998</v>
      </c>
      <c r="E124" s="13">
        <f t="shared" si="3"/>
        <v>1474205.1839999999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2">
      <c r="A125" s="11">
        <v>433</v>
      </c>
      <c r="B125" s="23" t="s">
        <v>111</v>
      </c>
      <c r="C125" s="13">
        <v>1404540</v>
      </c>
      <c r="D125" s="13">
        <f t="shared" si="2"/>
        <v>1439653.4999999998</v>
      </c>
      <c r="E125" s="13">
        <f t="shared" si="3"/>
        <v>1474205.1839999999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2">
      <c r="A126" s="11">
        <v>3625</v>
      </c>
      <c r="B126" s="23" t="s">
        <v>112</v>
      </c>
      <c r="C126" s="13">
        <v>1404540</v>
      </c>
      <c r="D126" s="13">
        <f t="shared" si="2"/>
        <v>1439653.4999999998</v>
      </c>
      <c r="E126" s="13">
        <f t="shared" si="3"/>
        <v>1474205.1839999999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2">
      <c r="A127" s="11">
        <v>859</v>
      </c>
      <c r="B127" s="23" t="s">
        <v>113</v>
      </c>
      <c r="C127" s="13">
        <v>104040</v>
      </c>
      <c r="D127" s="13">
        <f t="shared" si="2"/>
        <v>106640.99999999999</v>
      </c>
      <c r="E127" s="13">
        <f t="shared" si="3"/>
        <v>109200.38399999999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x14ac:dyDescent="0.2">
      <c r="A128" s="11">
        <v>3626</v>
      </c>
      <c r="B128" s="23" t="s">
        <v>114</v>
      </c>
      <c r="C128" s="13">
        <v>62424</v>
      </c>
      <c r="D128" s="13">
        <f t="shared" si="2"/>
        <v>63984.599999999991</v>
      </c>
      <c r="E128" s="13">
        <f t="shared" si="3"/>
        <v>65520.230399999993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x14ac:dyDescent="0.2">
      <c r="A129" s="11">
        <v>7200</v>
      </c>
      <c r="B129" s="23" t="s">
        <v>115</v>
      </c>
      <c r="C129" s="13">
        <v>187272</v>
      </c>
      <c r="D129" s="13">
        <f t="shared" si="2"/>
        <v>191953.8</v>
      </c>
      <c r="E129" s="13">
        <f t="shared" si="3"/>
        <v>196560.6912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2">
      <c r="A130" s="14"/>
      <c r="B130" s="15" t="s">
        <v>116</v>
      </c>
      <c r="C130" s="4">
        <v>0</v>
      </c>
      <c r="D130" s="4">
        <f t="shared" si="2"/>
        <v>0</v>
      </c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2">
      <c r="A131" s="11">
        <v>938</v>
      </c>
      <c r="B131" s="12" t="s">
        <v>117</v>
      </c>
      <c r="C131" s="13">
        <v>1074023.8590991732</v>
      </c>
      <c r="D131" s="13">
        <f t="shared" si="2"/>
        <v>1100874.4555766524</v>
      </c>
      <c r="E131" s="13">
        <f t="shared" si="3"/>
        <v>1127295.4425104922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2">
      <c r="A132" s="11">
        <v>936</v>
      </c>
      <c r="B132" s="12" t="s">
        <v>118</v>
      </c>
      <c r="C132" s="13">
        <v>1332871.3359324266</v>
      </c>
      <c r="D132" s="13">
        <f t="shared" si="2"/>
        <v>1366193.1193307373</v>
      </c>
      <c r="E132" s="13">
        <f t="shared" si="3"/>
        <v>1398981.754194675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2">
      <c r="A133" s="11">
        <v>276</v>
      </c>
      <c r="B133" s="12" t="s">
        <v>119</v>
      </c>
      <c r="C133" s="13">
        <v>1074023.8590991732</v>
      </c>
      <c r="D133" s="13">
        <f t="shared" si="2"/>
        <v>1100874.4555766524</v>
      </c>
      <c r="E133" s="13">
        <f t="shared" si="3"/>
        <v>1127295.4425104922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2">
      <c r="A134" s="11">
        <v>713</v>
      </c>
      <c r="B134" s="12" t="s">
        <v>120</v>
      </c>
      <c r="C134" s="13">
        <v>1168677.0409262583</v>
      </c>
      <c r="D134" s="13">
        <f t="shared" si="2"/>
        <v>1197893.9669494147</v>
      </c>
      <c r="E134" s="13">
        <f t="shared" si="3"/>
        <v>1226643.4221562007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2">
      <c r="A135" s="11">
        <v>3627</v>
      </c>
      <c r="B135" s="12" t="s">
        <v>121</v>
      </c>
      <c r="C135" s="13">
        <v>1526041.0947632131</v>
      </c>
      <c r="D135" s="13">
        <f t="shared" si="2"/>
        <v>1564192.1221322932</v>
      </c>
      <c r="E135" s="13">
        <f t="shared" si="3"/>
        <v>1601732.7330634682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2">
      <c r="A136" s="14"/>
      <c r="B136" s="15" t="s">
        <v>122</v>
      </c>
      <c r="C136" s="4">
        <v>0</v>
      </c>
      <c r="D136" s="4">
        <f t="shared" si="2"/>
        <v>0</v>
      </c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2">
      <c r="A137" s="11"/>
      <c r="B137" s="17" t="s">
        <v>123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2">
      <c r="A138" s="14"/>
      <c r="B138" s="15" t="s">
        <v>124</v>
      </c>
      <c r="C138" s="4"/>
      <c r="D138" s="4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2">
      <c r="A139" s="11">
        <v>275</v>
      </c>
      <c r="B139" s="12" t="s">
        <v>125</v>
      </c>
      <c r="C139" s="13">
        <v>509796</v>
      </c>
      <c r="D139" s="13">
        <f t="shared" si="2"/>
        <v>522540.89999999997</v>
      </c>
      <c r="E139" s="13">
        <f t="shared" si="3"/>
        <v>535081.88159999996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2">
      <c r="A140" s="14"/>
      <c r="B140" s="24" t="s">
        <v>126</v>
      </c>
      <c r="C140" s="4">
        <v>0</v>
      </c>
      <c r="D140" s="4">
        <f t="shared" si="2"/>
        <v>0</v>
      </c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2">
      <c r="A141" s="11">
        <v>3631</v>
      </c>
      <c r="B141" s="12" t="s">
        <v>127</v>
      </c>
      <c r="C141" s="13">
        <v>754290</v>
      </c>
      <c r="D141" s="13">
        <f t="shared" si="2"/>
        <v>773147.24999999988</v>
      </c>
      <c r="E141" s="13">
        <f t="shared" si="3"/>
        <v>791702.78399999987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2">
      <c r="A142" s="11">
        <v>3632</v>
      </c>
      <c r="B142" s="12" t="s">
        <v>128</v>
      </c>
      <c r="C142" s="13">
        <v>754290</v>
      </c>
      <c r="D142" s="13">
        <f t="shared" si="2"/>
        <v>773147.24999999988</v>
      </c>
      <c r="E142" s="13">
        <f t="shared" si="3"/>
        <v>791702.78399999987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2">
      <c r="A143" s="11">
        <v>3633</v>
      </c>
      <c r="B143" s="12" t="s">
        <v>129</v>
      </c>
      <c r="C143" s="13">
        <v>754290</v>
      </c>
      <c r="D143" s="13">
        <f t="shared" si="2"/>
        <v>773147.24999999988</v>
      </c>
      <c r="E143" s="13">
        <f t="shared" si="3"/>
        <v>791702.78399999987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2">
      <c r="A144" s="11">
        <v>3634</v>
      </c>
      <c r="B144" s="12" t="s">
        <v>130</v>
      </c>
      <c r="C144" s="13">
        <v>754290</v>
      </c>
      <c r="D144" s="13">
        <f t="shared" ref="D144:D206" si="4">IFERROR(C144*(1+$D$12),C144)</f>
        <v>773147.24999999988</v>
      </c>
      <c r="E144" s="13">
        <f t="shared" ref="E144:E206" si="5">IFERROR(D144*(1+$E$12),D144)</f>
        <v>791702.78399999987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2">
      <c r="A145" s="11">
        <v>3635</v>
      </c>
      <c r="B145" s="12" t="s">
        <v>131</v>
      </c>
      <c r="C145" s="13">
        <v>676260</v>
      </c>
      <c r="D145" s="13">
        <f t="shared" si="4"/>
        <v>693166.49999999988</v>
      </c>
      <c r="E145" s="13">
        <f t="shared" si="5"/>
        <v>709802.49599999993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2">
      <c r="A146" s="11">
        <v>3636</v>
      </c>
      <c r="B146" s="12" t="s">
        <v>132</v>
      </c>
      <c r="C146" s="13">
        <v>676260</v>
      </c>
      <c r="D146" s="13">
        <f t="shared" si="4"/>
        <v>693166.49999999988</v>
      </c>
      <c r="E146" s="13">
        <f t="shared" si="5"/>
        <v>709802.49599999993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2">
      <c r="A147" s="11">
        <v>3637</v>
      </c>
      <c r="B147" s="12" t="s">
        <v>133</v>
      </c>
      <c r="C147" s="13">
        <v>522280.8</v>
      </c>
      <c r="D147" s="13">
        <f t="shared" si="4"/>
        <v>535337.81999999995</v>
      </c>
      <c r="E147" s="13">
        <f t="shared" si="5"/>
        <v>548185.92767999996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2">
      <c r="A148" s="11">
        <v>3638</v>
      </c>
      <c r="B148" s="12" t="s">
        <v>134</v>
      </c>
      <c r="C148" s="13">
        <v>338130</v>
      </c>
      <c r="D148" s="13">
        <f t="shared" si="4"/>
        <v>346583.24999999994</v>
      </c>
      <c r="E148" s="13">
        <f t="shared" si="5"/>
        <v>354901.24799999996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2">
      <c r="A149" s="11">
        <v>3639</v>
      </c>
      <c r="B149" s="12" t="s">
        <v>135</v>
      </c>
      <c r="C149" s="13">
        <v>270504</v>
      </c>
      <c r="D149" s="13">
        <f t="shared" si="4"/>
        <v>277266.59999999998</v>
      </c>
      <c r="E149" s="13">
        <f t="shared" si="5"/>
        <v>283920.99839999998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2">
      <c r="A150" s="14"/>
      <c r="B150" s="25" t="s">
        <v>136</v>
      </c>
      <c r="C150" s="4">
        <v>0</v>
      </c>
      <c r="D150" s="4">
        <f t="shared" si="4"/>
        <v>0</v>
      </c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2">
      <c r="A151" s="11">
        <v>714</v>
      </c>
      <c r="B151" s="12" t="s">
        <v>137</v>
      </c>
      <c r="C151" s="13">
        <v>475101.02184431913</v>
      </c>
      <c r="D151" s="13">
        <f t="shared" si="4"/>
        <v>486978.54739042709</v>
      </c>
      <c r="E151" s="13">
        <f t="shared" si="5"/>
        <v>498666.03252779733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2">
      <c r="A152" s="11">
        <v>3150</v>
      </c>
      <c r="B152" s="12" t="s">
        <v>138</v>
      </c>
      <c r="C152" s="13">
        <v>67626</v>
      </c>
      <c r="D152" s="13">
        <f t="shared" si="4"/>
        <v>69316.649999999994</v>
      </c>
      <c r="E152" s="13">
        <f t="shared" si="5"/>
        <v>70980.249599999996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2">
      <c r="A153" s="11">
        <v>616</v>
      </c>
      <c r="B153" s="12" t="s">
        <v>139</v>
      </c>
      <c r="C153" s="13">
        <v>985165.77003701136</v>
      </c>
      <c r="D153" s="13">
        <f t="shared" si="4"/>
        <v>1009794.9142879365</v>
      </c>
      <c r="E153" s="13">
        <f t="shared" si="5"/>
        <v>1034029.992230847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2">
      <c r="A154" s="11">
        <v>617</v>
      </c>
      <c r="B154" s="12" t="s">
        <v>140</v>
      </c>
      <c r="C154" s="13">
        <v>1120384.6012185621</v>
      </c>
      <c r="D154" s="13">
        <f t="shared" si="4"/>
        <v>1148394.2162490261</v>
      </c>
      <c r="E154" s="13">
        <f t="shared" si="5"/>
        <v>1175955.6774390028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2">
      <c r="A155" s="11">
        <v>295</v>
      </c>
      <c r="B155" s="12" t="s">
        <v>141</v>
      </c>
      <c r="C155" s="13">
        <v>1120384.6012185621</v>
      </c>
      <c r="D155" s="13">
        <f t="shared" si="4"/>
        <v>1148394.2162490261</v>
      </c>
      <c r="E155" s="13">
        <f t="shared" si="5"/>
        <v>1175955.6774390028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2">
      <c r="A156" s="14"/>
      <c r="B156" s="25" t="s">
        <v>142</v>
      </c>
      <c r="C156" s="4">
        <v>0</v>
      </c>
      <c r="D156" s="4">
        <f t="shared" si="4"/>
        <v>0</v>
      </c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2">
      <c r="A157" s="11">
        <v>618</v>
      </c>
      <c r="B157" s="12" t="s">
        <v>143</v>
      </c>
      <c r="C157" s="13">
        <v>511899.86090158438</v>
      </c>
      <c r="D157" s="13">
        <f t="shared" si="4"/>
        <v>524697.35742412391</v>
      </c>
      <c r="E157" s="13">
        <f t="shared" si="5"/>
        <v>537290.09400230285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2">
      <c r="A158" s="11">
        <v>3640</v>
      </c>
      <c r="B158" s="12" t="s">
        <v>144</v>
      </c>
      <c r="C158" s="13">
        <v>511899.86090158438</v>
      </c>
      <c r="D158" s="13">
        <f t="shared" si="4"/>
        <v>524697.35742412391</v>
      </c>
      <c r="E158" s="13">
        <f t="shared" si="5"/>
        <v>537290.09400230285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2">
      <c r="A159" s="11">
        <v>1024</v>
      </c>
      <c r="B159" s="12" t="s">
        <v>145</v>
      </c>
      <c r="C159" s="13">
        <v>593997.00840466854</v>
      </c>
      <c r="D159" s="13">
        <f t="shared" si="4"/>
        <v>608846.9336147852</v>
      </c>
      <c r="E159" s="13">
        <f t="shared" si="5"/>
        <v>623459.2600215401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2">
      <c r="A160" s="11">
        <v>3641</v>
      </c>
      <c r="B160" s="12" t="s">
        <v>146</v>
      </c>
      <c r="C160" s="13">
        <v>593997.00840466854</v>
      </c>
      <c r="D160" s="13">
        <f t="shared" si="4"/>
        <v>608846.9336147852</v>
      </c>
      <c r="E160" s="13">
        <f t="shared" si="5"/>
        <v>623459.2600215401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2">
      <c r="A161" s="11">
        <v>1027</v>
      </c>
      <c r="B161" s="12" t="s">
        <v>147</v>
      </c>
      <c r="C161" s="13">
        <v>593997.00840466854</v>
      </c>
      <c r="D161" s="13">
        <f t="shared" si="4"/>
        <v>608846.9336147852</v>
      </c>
      <c r="E161" s="13">
        <f t="shared" si="5"/>
        <v>623459.2600215401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2">
      <c r="A162" s="11">
        <v>3642</v>
      </c>
      <c r="B162" s="12" t="s">
        <v>148</v>
      </c>
      <c r="C162" s="13">
        <v>593997.00840466854</v>
      </c>
      <c r="D162" s="13">
        <f t="shared" si="4"/>
        <v>608846.9336147852</v>
      </c>
      <c r="E162" s="13">
        <f t="shared" si="5"/>
        <v>623459.2600215401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2">
      <c r="A163" s="11">
        <v>922</v>
      </c>
      <c r="B163" s="12" t="s">
        <v>149</v>
      </c>
      <c r="C163" s="13">
        <v>511899.86090158438</v>
      </c>
      <c r="D163" s="13">
        <f t="shared" si="4"/>
        <v>524697.35742412391</v>
      </c>
      <c r="E163" s="13">
        <f t="shared" si="5"/>
        <v>537290.09400230285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2">
      <c r="A164" s="11">
        <v>3643</v>
      </c>
      <c r="B164" s="12" t="s">
        <v>150</v>
      </c>
      <c r="C164" s="13">
        <v>511899.86090158438</v>
      </c>
      <c r="D164" s="13">
        <f t="shared" si="4"/>
        <v>524697.35742412391</v>
      </c>
      <c r="E164" s="13">
        <f t="shared" si="5"/>
        <v>537290.09400230285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2">
      <c r="A165" s="11">
        <v>3644</v>
      </c>
      <c r="B165" s="12" t="s">
        <v>151</v>
      </c>
      <c r="C165" s="13">
        <v>364140</v>
      </c>
      <c r="D165" s="13">
        <f t="shared" si="4"/>
        <v>373243.49999999994</v>
      </c>
      <c r="E165" s="13">
        <f t="shared" si="5"/>
        <v>382201.34399999992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2">
      <c r="A166" s="14"/>
      <c r="B166" s="25" t="s">
        <v>152</v>
      </c>
      <c r="C166" s="4">
        <v>0</v>
      </c>
      <c r="D166" s="4">
        <f t="shared" si="4"/>
        <v>0</v>
      </c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2">
      <c r="A167" s="11">
        <v>84</v>
      </c>
      <c r="B167" s="12" t="s">
        <v>153</v>
      </c>
      <c r="C167" s="13">
        <v>260896.67900914923</v>
      </c>
      <c r="D167" s="13">
        <f t="shared" si="4"/>
        <v>267419.09598437796</v>
      </c>
      <c r="E167" s="13">
        <f t="shared" si="5"/>
        <v>273837.15428800305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2">
      <c r="A168" s="11">
        <v>3646</v>
      </c>
      <c r="B168" s="12" t="s">
        <v>154</v>
      </c>
      <c r="C168" s="13">
        <v>265482.75344485673</v>
      </c>
      <c r="D168" s="13">
        <f t="shared" si="4"/>
        <v>272119.82228097814</v>
      </c>
      <c r="E168" s="13">
        <f t="shared" si="5"/>
        <v>278650.69801572163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2">
      <c r="A169" s="11">
        <v>3647</v>
      </c>
      <c r="B169" s="12" t="s">
        <v>155</v>
      </c>
      <c r="C169" s="13">
        <v>235473.93601472871</v>
      </c>
      <c r="D169" s="13">
        <f t="shared" si="4"/>
        <v>241360.78441509692</v>
      </c>
      <c r="E169" s="13">
        <f t="shared" si="5"/>
        <v>247153.44324105926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2">
      <c r="A170" s="11">
        <v>1084</v>
      </c>
      <c r="B170" s="12" t="s">
        <v>156</v>
      </c>
      <c r="C170" s="13">
        <v>79974.701563043054</v>
      </c>
      <c r="D170" s="13">
        <f t="shared" si="4"/>
        <v>81974.069102119131</v>
      </c>
      <c r="E170" s="13">
        <f t="shared" si="5"/>
        <v>83941.44676056999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2">
      <c r="A171" s="11">
        <v>1085</v>
      </c>
      <c r="B171" s="12" t="s">
        <v>157</v>
      </c>
      <c r="C171" s="13">
        <v>106016.09499621368</v>
      </c>
      <c r="D171" s="13">
        <f t="shared" si="4"/>
        <v>108666.49737111901</v>
      </c>
      <c r="E171" s="13">
        <f t="shared" si="5"/>
        <v>111274.49330802586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x14ac:dyDescent="0.2">
      <c r="A172" s="14"/>
      <c r="B172" s="25" t="s">
        <v>158</v>
      </c>
      <c r="C172" s="4">
        <v>0</v>
      </c>
      <c r="D172" s="4">
        <f t="shared" si="4"/>
        <v>0</v>
      </c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x14ac:dyDescent="0.2">
      <c r="A173" s="11">
        <v>314</v>
      </c>
      <c r="B173" s="12" t="s">
        <v>159</v>
      </c>
      <c r="C173" s="13">
        <v>936360</v>
      </c>
      <c r="D173" s="13">
        <f t="shared" si="4"/>
        <v>959768.99999999988</v>
      </c>
      <c r="E173" s="13">
        <f t="shared" si="5"/>
        <v>982803.45599999989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x14ac:dyDescent="0.2">
      <c r="A174" s="11">
        <v>315</v>
      </c>
      <c r="B174" s="26" t="s">
        <v>160</v>
      </c>
      <c r="C174" s="13">
        <v>1040400</v>
      </c>
      <c r="D174" s="13">
        <f t="shared" si="4"/>
        <v>1066410</v>
      </c>
      <c r="E174" s="13">
        <f t="shared" si="5"/>
        <v>1092003.8400000001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42" x14ac:dyDescent="0.2">
      <c r="A175" s="27"/>
      <c r="B175" s="28" t="s">
        <v>161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2">
      <c r="A176" s="152" t="s">
        <v>162</v>
      </c>
      <c r="B176" s="154" t="s">
        <v>3</v>
      </c>
      <c r="C176" s="4">
        <v>0</v>
      </c>
      <c r="D176" s="4">
        <f t="shared" si="4"/>
        <v>0</v>
      </c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2">
      <c r="A177" s="153"/>
      <c r="B177" s="155"/>
      <c r="C177" s="4">
        <v>0</v>
      </c>
      <c r="D177" s="4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2">
      <c r="A178" s="29" t="s">
        <v>163</v>
      </c>
      <c r="B178" s="12" t="s">
        <v>164</v>
      </c>
      <c r="C178" s="13">
        <v>111034.15595308227</v>
      </c>
      <c r="D178" s="13">
        <f t="shared" si="4"/>
        <v>113810.00985190932</v>
      </c>
      <c r="E178" s="13">
        <f t="shared" si="5"/>
        <v>116541.45008835514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2">
      <c r="A179" s="30" t="s">
        <v>163</v>
      </c>
      <c r="B179" s="12" t="s">
        <v>165</v>
      </c>
      <c r="C179" s="13">
        <v>111034.15595308227</v>
      </c>
      <c r="D179" s="13">
        <f t="shared" si="4"/>
        <v>113810.00985190932</v>
      </c>
      <c r="E179" s="13">
        <f t="shared" si="5"/>
        <v>116541.45008835514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2">
      <c r="A180" s="30">
        <v>260526</v>
      </c>
      <c r="B180" s="12" t="s">
        <v>166</v>
      </c>
      <c r="C180" s="13">
        <v>103284.12090669268</v>
      </c>
      <c r="D180" s="13">
        <f t="shared" si="4"/>
        <v>105866.22392935999</v>
      </c>
      <c r="E180" s="13">
        <f t="shared" si="5"/>
        <v>108407.01330366463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2">
      <c r="A181" s="30">
        <v>900524</v>
      </c>
      <c r="B181" s="12" t="s">
        <v>167</v>
      </c>
      <c r="C181" s="13">
        <v>117740.9170509195</v>
      </c>
      <c r="D181" s="13">
        <f t="shared" si="4"/>
        <v>120684.43997719247</v>
      </c>
      <c r="E181" s="13">
        <f t="shared" si="5"/>
        <v>123580.86653664509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2">
      <c r="A182" s="30">
        <v>900525</v>
      </c>
      <c r="B182" s="12" t="s">
        <v>168</v>
      </c>
      <c r="C182" s="13">
        <v>117740.9170509195</v>
      </c>
      <c r="D182" s="13">
        <f t="shared" si="4"/>
        <v>120684.43997719247</v>
      </c>
      <c r="E182" s="13">
        <f t="shared" si="5"/>
        <v>123580.86653664509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2">
      <c r="A183" s="30">
        <v>260528</v>
      </c>
      <c r="B183" s="12" t="s">
        <v>169</v>
      </c>
      <c r="C183" s="13">
        <v>106712.02102336499</v>
      </c>
      <c r="D183" s="13">
        <f t="shared" si="4"/>
        <v>109379.8215489491</v>
      </c>
      <c r="E183" s="13">
        <f t="shared" si="5"/>
        <v>112004.93726612387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2">
      <c r="A184" s="30">
        <v>900531</v>
      </c>
      <c r="B184" s="12" t="s">
        <v>170</v>
      </c>
      <c r="C184" s="13">
        <v>117740.9170509195</v>
      </c>
      <c r="D184" s="13">
        <f t="shared" si="4"/>
        <v>120684.43997719247</v>
      </c>
      <c r="E184" s="13">
        <f t="shared" si="5"/>
        <v>123580.86653664509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2">
      <c r="A185" s="30">
        <v>260524</v>
      </c>
      <c r="B185" s="12" t="s">
        <v>171</v>
      </c>
      <c r="C185" s="13">
        <v>111034.15595308227</v>
      </c>
      <c r="D185" s="13">
        <f t="shared" si="4"/>
        <v>113810.00985190932</v>
      </c>
      <c r="E185" s="13">
        <f t="shared" si="5"/>
        <v>116541.45008835514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2">
      <c r="A186" s="30">
        <v>260525</v>
      </c>
      <c r="B186" s="12" t="s">
        <v>172</v>
      </c>
      <c r="C186" s="13">
        <v>111034.15595308227</v>
      </c>
      <c r="D186" s="13">
        <f t="shared" si="4"/>
        <v>113810.00985190932</v>
      </c>
      <c r="E186" s="13">
        <f t="shared" si="5"/>
        <v>116541.45008835514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2">
      <c r="A187" s="30">
        <v>260515</v>
      </c>
      <c r="B187" s="12" t="s">
        <v>173</v>
      </c>
      <c r="C187" s="13">
        <v>102837.00350017018</v>
      </c>
      <c r="D187" s="13">
        <f t="shared" si="4"/>
        <v>105407.92858767443</v>
      </c>
      <c r="E187" s="13">
        <f t="shared" si="5"/>
        <v>107937.71887377862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2">
      <c r="A188" s="30">
        <v>260531</v>
      </c>
      <c r="B188" s="12" t="s">
        <v>174</v>
      </c>
      <c r="C188" s="13">
        <v>111034.15595308227</v>
      </c>
      <c r="D188" s="13">
        <f t="shared" si="4"/>
        <v>113810.00985190932</v>
      </c>
      <c r="E188" s="13">
        <f t="shared" si="5"/>
        <v>116541.45008835514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2">
      <c r="A189" s="30">
        <v>260539</v>
      </c>
      <c r="B189" s="12" t="s">
        <v>175</v>
      </c>
      <c r="C189" s="13">
        <v>102837.00350017018</v>
      </c>
      <c r="D189" s="13">
        <f t="shared" si="4"/>
        <v>105407.92858767443</v>
      </c>
      <c r="E189" s="13">
        <f t="shared" si="5"/>
        <v>107937.71887377862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2">
      <c r="A190" s="30">
        <v>900500</v>
      </c>
      <c r="B190" s="12" t="s">
        <v>176</v>
      </c>
      <c r="C190" s="13">
        <v>111034.15595308227</v>
      </c>
      <c r="D190" s="13">
        <f t="shared" si="4"/>
        <v>113810.00985190932</v>
      </c>
      <c r="E190" s="13">
        <f t="shared" si="5"/>
        <v>116541.45008835514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2">
      <c r="A191" s="30">
        <v>900534</v>
      </c>
      <c r="B191" s="12" t="s">
        <v>177</v>
      </c>
      <c r="C191" s="13">
        <v>116995.72137338202</v>
      </c>
      <c r="D191" s="13">
        <f t="shared" si="4"/>
        <v>119920.61440771657</v>
      </c>
      <c r="E191" s="13">
        <f t="shared" si="5"/>
        <v>122798.70915350177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2">
      <c r="A192" s="30">
        <v>260534</v>
      </c>
      <c r="B192" s="12" t="s">
        <v>178</v>
      </c>
      <c r="C192" s="13">
        <v>111034.15595308227</v>
      </c>
      <c r="D192" s="13">
        <f t="shared" si="4"/>
        <v>113810.00985190932</v>
      </c>
      <c r="E192" s="13">
        <f t="shared" si="5"/>
        <v>116541.45008835514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2">
      <c r="A193" s="30">
        <v>260101</v>
      </c>
      <c r="B193" s="12" t="s">
        <v>179</v>
      </c>
      <c r="C193" s="13">
        <v>86070.100755577208</v>
      </c>
      <c r="D193" s="13">
        <f t="shared" si="4"/>
        <v>88221.85327446663</v>
      </c>
      <c r="E193" s="13">
        <f t="shared" si="5"/>
        <v>90339.177753053824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2">
      <c r="A194" s="30">
        <v>260108</v>
      </c>
      <c r="B194" s="12" t="s">
        <v>180</v>
      </c>
      <c r="C194" s="13">
        <v>116995.72137338202</v>
      </c>
      <c r="D194" s="13">
        <f t="shared" si="4"/>
        <v>119920.61440771657</v>
      </c>
      <c r="E194" s="13">
        <f t="shared" si="5"/>
        <v>122798.70915350177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2">
      <c r="A195" s="30">
        <v>900544</v>
      </c>
      <c r="B195" s="12" t="s">
        <v>181</v>
      </c>
      <c r="C195" s="13">
        <v>110139.92114003733</v>
      </c>
      <c r="D195" s="13">
        <f t="shared" si="4"/>
        <v>112893.41916853825</v>
      </c>
      <c r="E195" s="13">
        <f t="shared" si="5"/>
        <v>115602.86122858318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2">
      <c r="A196" s="30" t="s">
        <v>182</v>
      </c>
      <c r="B196" s="12" t="s">
        <v>183</v>
      </c>
      <c r="C196" s="13">
        <v>111034.15595308227</v>
      </c>
      <c r="D196" s="13">
        <f t="shared" si="4"/>
        <v>113810.00985190932</v>
      </c>
      <c r="E196" s="13">
        <f t="shared" si="5"/>
        <v>116541.45008835514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2">
      <c r="A197" s="30">
        <v>260529</v>
      </c>
      <c r="B197" s="12" t="s">
        <v>184</v>
      </c>
      <c r="C197" s="13">
        <v>111034.15595308227</v>
      </c>
      <c r="D197" s="13">
        <f t="shared" si="4"/>
        <v>113810.00985190932</v>
      </c>
      <c r="E197" s="13">
        <f t="shared" si="5"/>
        <v>116541.45008835514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2">
      <c r="A198" s="30">
        <v>900145</v>
      </c>
      <c r="B198" s="12" t="s">
        <v>185</v>
      </c>
      <c r="C198" s="13">
        <v>106712.02102336499</v>
      </c>
      <c r="D198" s="13">
        <f t="shared" si="4"/>
        <v>109379.8215489491</v>
      </c>
      <c r="E198" s="13">
        <f t="shared" si="5"/>
        <v>112004.93726612387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2">
      <c r="A199" s="30">
        <v>900558</v>
      </c>
      <c r="B199" s="12" t="s">
        <v>186</v>
      </c>
      <c r="C199" s="13">
        <v>103284.12090669268</v>
      </c>
      <c r="D199" s="13">
        <f t="shared" si="4"/>
        <v>105866.22392935999</v>
      </c>
      <c r="E199" s="13">
        <f t="shared" si="5"/>
        <v>108407.01330366463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2">
      <c r="A200" s="30">
        <v>260505</v>
      </c>
      <c r="B200" s="12" t="s">
        <v>187</v>
      </c>
      <c r="C200" s="13">
        <v>120498.1410578081</v>
      </c>
      <c r="D200" s="13">
        <f t="shared" si="4"/>
        <v>123510.5945842533</v>
      </c>
      <c r="E200" s="13">
        <f t="shared" si="5"/>
        <v>126474.84885427538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2">
      <c r="A201" s="30">
        <v>900560</v>
      </c>
      <c r="B201" s="12" t="s">
        <v>188</v>
      </c>
      <c r="C201" s="13">
        <v>111034.15595308227</v>
      </c>
      <c r="D201" s="13">
        <f t="shared" si="4"/>
        <v>113810.00985190932</v>
      </c>
      <c r="E201" s="13">
        <f t="shared" si="5"/>
        <v>116541.45008835514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2">
      <c r="A202" s="30">
        <v>900561</v>
      </c>
      <c r="B202" s="12" t="s">
        <v>189</v>
      </c>
      <c r="C202" s="13">
        <v>120498.1410578081</v>
      </c>
      <c r="D202" s="13">
        <f t="shared" si="4"/>
        <v>123510.5945842533</v>
      </c>
      <c r="E202" s="13">
        <f t="shared" si="5"/>
        <v>126474.84885427538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2">
      <c r="A203" s="30">
        <v>900562</v>
      </c>
      <c r="B203" s="12" t="s">
        <v>190</v>
      </c>
      <c r="C203" s="13">
        <v>116995.72137338202</v>
      </c>
      <c r="D203" s="13">
        <f t="shared" si="4"/>
        <v>119920.61440771657</v>
      </c>
      <c r="E203" s="13">
        <f t="shared" si="5"/>
        <v>122798.70915350177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2">
      <c r="A204" s="30">
        <v>900563</v>
      </c>
      <c r="B204" s="12" t="s">
        <v>191</v>
      </c>
      <c r="C204" s="13">
        <v>111034.15595308227</v>
      </c>
      <c r="D204" s="13">
        <f t="shared" si="4"/>
        <v>113810.00985190932</v>
      </c>
      <c r="E204" s="13">
        <f t="shared" si="5"/>
        <v>116541.45008835514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2">
      <c r="A205" s="30">
        <v>908600</v>
      </c>
      <c r="B205" s="12" t="s">
        <v>192</v>
      </c>
      <c r="C205" s="13">
        <v>103284.12090669268</v>
      </c>
      <c r="D205" s="13">
        <f t="shared" si="4"/>
        <v>105866.22392935999</v>
      </c>
      <c r="E205" s="13">
        <f t="shared" si="5"/>
        <v>108407.01330366463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2">
      <c r="A206" s="30"/>
      <c r="B206" s="12" t="s">
        <v>193</v>
      </c>
      <c r="C206" s="31" t="s">
        <v>194</v>
      </c>
      <c r="D206" s="31" t="str">
        <f t="shared" si="4"/>
        <v>Adecra / Cedim</v>
      </c>
      <c r="E206" s="31" t="str">
        <f t="shared" si="5"/>
        <v>Adecra / Cedim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2">
      <c r="A207" s="32" t="s">
        <v>0</v>
      </c>
      <c r="B207" s="33" t="s">
        <v>195</v>
      </c>
      <c r="C207" s="34"/>
      <c r="D207" s="34"/>
      <c r="E207" s="3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2">
      <c r="A208" s="11">
        <v>900201</v>
      </c>
      <c r="B208" s="12" t="s">
        <v>196</v>
      </c>
      <c r="C208" s="13">
        <v>82773.241658991945</v>
      </c>
      <c r="D208" s="13">
        <f t="shared" ref="D208:D247" si="6">IFERROR(C208*(1+$D$12),C208)</f>
        <v>84842.572700466742</v>
      </c>
      <c r="E208" s="13">
        <f t="shared" ref="E208:E271" si="7">IFERROR(D208*(1+$E$12),D208)</f>
        <v>86878.794445277948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2">
      <c r="A209" s="14"/>
      <c r="B209" s="33" t="s">
        <v>197</v>
      </c>
      <c r="C209" s="34"/>
      <c r="D209" s="34"/>
      <c r="E209" s="3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2">
      <c r="A210" s="11">
        <v>665</v>
      </c>
      <c r="B210" s="12" t="s">
        <v>198</v>
      </c>
      <c r="C210" s="13">
        <v>305894.80674528662</v>
      </c>
      <c r="D210" s="13">
        <f t="shared" si="6"/>
        <v>313542.17691391875</v>
      </c>
      <c r="E210" s="13">
        <f t="shared" si="7"/>
        <v>321067.1891598528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2">
      <c r="A211" s="14"/>
      <c r="B211" s="33" t="s">
        <v>199</v>
      </c>
      <c r="C211" s="34"/>
      <c r="D211" s="34"/>
      <c r="E211" s="3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2">
      <c r="A212" s="11">
        <v>801</v>
      </c>
      <c r="B212" s="12" t="s">
        <v>200</v>
      </c>
      <c r="C212" s="13">
        <v>292878.00645825319</v>
      </c>
      <c r="D212" s="13">
        <f t="shared" si="6"/>
        <v>300199.9566197095</v>
      </c>
      <c r="E212" s="13">
        <f t="shared" si="7"/>
        <v>307404.75557858252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2">
      <c r="A213" s="14"/>
      <c r="B213" s="33" t="s">
        <v>201</v>
      </c>
      <c r="C213" s="34"/>
      <c r="D213" s="34"/>
      <c r="E213" s="3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2">
      <c r="A214" s="11">
        <v>149</v>
      </c>
      <c r="B214" s="12" t="s">
        <v>202</v>
      </c>
      <c r="C214" s="13">
        <v>265548.60546538298</v>
      </c>
      <c r="D214" s="13">
        <f t="shared" si="6"/>
        <v>272187.32060201751</v>
      </c>
      <c r="E214" s="13">
        <f t="shared" si="7"/>
        <v>278719.81629646593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2">
      <c r="A215" s="11">
        <v>153</v>
      </c>
      <c r="B215" s="12" t="s">
        <v>203</v>
      </c>
      <c r="C215" s="13">
        <v>318412.44822006568</v>
      </c>
      <c r="D215" s="13">
        <f t="shared" si="6"/>
        <v>326372.75942556729</v>
      </c>
      <c r="E215" s="13">
        <f t="shared" si="7"/>
        <v>334205.70565178088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2">
      <c r="A216" s="11">
        <v>152</v>
      </c>
      <c r="B216" s="12" t="s">
        <v>204</v>
      </c>
      <c r="C216" s="13">
        <v>333165.14852369804</v>
      </c>
      <c r="D216" s="13">
        <f t="shared" si="6"/>
        <v>341494.27723679045</v>
      </c>
      <c r="E216" s="13">
        <f t="shared" si="7"/>
        <v>349690.13989047345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2">
      <c r="A217" s="11">
        <v>155</v>
      </c>
      <c r="B217" s="12" t="s">
        <v>205</v>
      </c>
      <c r="C217" s="13">
        <v>366358.72420687095</v>
      </c>
      <c r="D217" s="13">
        <f t="shared" si="6"/>
        <v>375517.69231204269</v>
      </c>
      <c r="E217" s="13">
        <f t="shared" si="7"/>
        <v>384530.11692753172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2">
      <c r="A218" s="11">
        <v>3650</v>
      </c>
      <c r="B218" s="12" t="s">
        <v>206</v>
      </c>
      <c r="C218" s="13">
        <v>433654.93841440498</v>
      </c>
      <c r="D218" s="13">
        <f t="shared" si="6"/>
        <v>444496.31187476509</v>
      </c>
      <c r="E218" s="13">
        <f t="shared" si="7"/>
        <v>455164.22335975943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2">
      <c r="A219" s="11">
        <v>906</v>
      </c>
      <c r="B219" s="12" t="s">
        <v>207</v>
      </c>
      <c r="C219" s="13">
        <v>433654.93841440498</v>
      </c>
      <c r="D219" s="13">
        <f t="shared" si="6"/>
        <v>444496.31187476509</v>
      </c>
      <c r="E219" s="13">
        <f t="shared" si="7"/>
        <v>455164.22335975943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2">
      <c r="A220" s="11">
        <v>900655</v>
      </c>
      <c r="B220" s="12" t="s">
        <v>208</v>
      </c>
      <c r="C220" s="13">
        <v>433654.93841440498</v>
      </c>
      <c r="D220" s="13">
        <f t="shared" si="6"/>
        <v>444496.31187476509</v>
      </c>
      <c r="E220" s="13">
        <f t="shared" si="7"/>
        <v>455164.22335975943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2">
      <c r="A221" s="11">
        <v>715</v>
      </c>
      <c r="B221" s="12" t="s">
        <v>209</v>
      </c>
      <c r="C221" s="13">
        <v>433654.93841440498</v>
      </c>
      <c r="D221" s="13">
        <f t="shared" si="6"/>
        <v>444496.31187476509</v>
      </c>
      <c r="E221" s="13">
        <f t="shared" si="7"/>
        <v>455164.22335975943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2">
      <c r="A222" s="11">
        <v>613</v>
      </c>
      <c r="B222" s="12" t="s">
        <v>210</v>
      </c>
      <c r="C222" s="13">
        <v>433654.93841440498</v>
      </c>
      <c r="D222" s="13">
        <f t="shared" si="6"/>
        <v>444496.31187476509</v>
      </c>
      <c r="E222" s="13">
        <f t="shared" si="7"/>
        <v>455164.22335975943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2">
      <c r="A223" s="11">
        <v>614</v>
      </c>
      <c r="B223" s="12" t="s">
        <v>211</v>
      </c>
      <c r="C223" s="13">
        <v>433654.93841440498</v>
      </c>
      <c r="D223" s="13">
        <f t="shared" si="6"/>
        <v>444496.31187476509</v>
      </c>
      <c r="E223" s="13">
        <f t="shared" si="7"/>
        <v>455164.22335975943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2">
      <c r="A224" s="11">
        <v>615</v>
      </c>
      <c r="B224" s="12" t="s">
        <v>212</v>
      </c>
      <c r="C224" s="13">
        <v>433654.93841440498</v>
      </c>
      <c r="D224" s="13">
        <f t="shared" si="6"/>
        <v>444496.31187476509</v>
      </c>
      <c r="E224" s="13">
        <f t="shared" si="7"/>
        <v>455164.22335975943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2">
      <c r="A225" s="11">
        <v>7203</v>
      </c>
      <c r="B225" s="12" t="s">
        <v>213</v>
      </c>
      <c r="C225" s="13">
        <v>558933.0317341222</v>
      </c>
      <c r="D225" s="13">
        <f t="shared" si="6"/>
        <v>572906.35752747522</v>
      </c>
      <c r="E225" s="13">
        <f t="shared" si="7"/>
        <v>586656.11010813469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2">
      <c r="A226" s="14"/>
      <c r="B226" s="33" t="s">
        <v>214</v>
      </c>
      <c r="C226" s="34"/>
      <c r="D226" s="34"/>
      <c r="E226" s="3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2">
      <c r="A227" s="11" t="s">
        <v>103</v>
      </c>
      <c r="B227" s="12" t="s">
        <v>215</v>
      </c>
      <c r="C227" s="13">
        <v>1820.7</v>
      </c>
      <c r="D227" s="13">
        <f t="shared" si="6"/>
        <v>1866.2175</v>
      </c>
      <c r="E227" s="13">
        <f t="shared" si="7"/>
        <v>1911.0067200000001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2">
      <c r="A228" s="11">
        <v>900023</v>
      </c>
      <c r="B228" s="12" t="s">
        <v>216</v>
      </c>
      <c r="C228" s="13">
        <v>57903.660283314581</v>
      </c>
      <c r="D228" s="13">
        <f t="shared" si="6"/>
        <v>59351.251790397437</v>
      </c>
      <c r="E228" s="13">
        <f t="shared" si="7"/>
        <v>60775.68183336698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2">
      <c r="A229" s="11">
        <v>668</v>
      </c>
      <c r="B229" s="12" t="s">
        <v>217</v>
      </c>
      <c r="C229" s="13">
        <v>60365.549634620773</v>
      </c>
      <c r="D229" s="13">
        <f t="shared" si="6"/>
        <v>61874.688375486287</v>
      </c>
      <c r="E229" s="13">
        <f t="shared" si="7"/>
        <v>63359.680896497957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2">
      <c r="A230" s="11">
        <v>900022</v>
      </c>
      <c r="B230" s="12" t="s">
        <v>218</v>
      </c>
      <c r="C230" s="13">
        <v>42497.346942773023</v>
      </c>
      <c r="D230" s="13">
        <f t="shared" si="6"/>
        <v>43559.780616342345</v>
      </c>
      <c r="E230" s="13">
        <f t="shared" si="7"/>
        <v>44605.21535113456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2">
      <c r="A231" s="11">
        <v>901802</v>
      </c>
      <c r="B231" s="12" t="s">
        <v>219</v>
      </c>
      <c r="C231" s="13">
        <v>42497.346942773023</v>
      </c>
      <c r="D231" s="13">
        <f t="shared" si="6"/>
        <v>43559.780616342345</v>
      </c>
      <c r="E231" s="13">
        <f t="shared" si="7"/>
        <v>44605.21535113456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2">
      <c r="A232" s="11">
        <v>37</v>
      </c>
      <c r="B232" s="12" t="s">
        <v>220</v>
      </c>
      <c r="C232" s="13">
        <v>346923.95073152409</v>
      </c>
      <c r="D232" s="13">
        <f t="shared" si="6"/>
        <v>355597.04949981219</v>
      </c>
      <c r="E232" s="13">
        <f t="shared" si="7"/>
        <v>364131.37868780771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2">
      <c r="A233" s="11">
        <v>900643</v>
      </c>
      <c r="B233" s="12" t="s">
        <v>221</v>
      </c>
      <c r="C233" s="13">
        <v>195970.7203338329</v>
      </c>
      <c r="D233" s="13">
        <f t="shared" si="6"/>
        <v>200869.98834217869</v>
      </c>
      <c r="E233" s="13">
        <f t="shared" si="7"/>
        <v>205690.86806239097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2">
      <c r="A234" s="14"/>
      <c r="B234" s="33" t="s">
        <v>222</v>
      </c>
      <c r="C234" s="34"/>
      <c r="D234" s="34"/>
      <c r="E234" s="3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2">
      <c r="A235" s="11">
        <v>38</v>
      </c>
      <c r="B235" s="12" t="s">
        <v>223</v>
      </c>
      <c r="C235" s="13">
        <v>109603.35696484546</v>
      </c>
      <c r="D235" s="13">
        <f t="shared" si="6"/>
        <v>112343.44088896658</v>
      </c>
      <c r="E235" s="13">
        <f t="shared" si="7"/>
        <v>115039.68347030178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2">
      <c r="A236" s="11">
        <v>900373</v>
      </c>
      <c r="B236" s="12" t="s">
        <v>224</v>
      </c>
      <c r="C236" s="13">
        <v>135252</v>
      </c>
      <c r="D236" s="13">
        <f t="shared" si="6"/>
        <v>138633.29999999999</v>
      </c>
      <c r="E236" s="13">
        <f t="shared" si="7"/>
        <v>141960.49919999999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2">
      <c r="A237" s="14"/>
      <c r="B237" s="33" t="s">
        <v>225</v>
      </c>
      <c r="C237" s="34"/>
      <c r="D237" s="34"/>
      <c r="E237" s="3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2">
      <c r="A238" s="11">
        <v>900218</v>
      </c>
      <c r="B238" s="12" t="s">
        <v>226</v>
      </c>
      <c r="C238" s="13">
        <v>9363.6</v>
      </c>
      <c r="D238" s="13">
        <f t="shared" si="6"/>
        <v>9597.6899999999987</v>
      </c>
      <c r="E238" s="13">
        <f t="shared" si="7"/>
        <v>9828.0345599999982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2">
      <c r="A239" s="11" t="s">
        <v>103</v>
      </c>
      <c r="B239" s="12" t="s">
        <v>227</v>
      </c>
      <c r="C239" s="13">
        <v>2091.2039999999997</v>
      </c>
      <c r="D239" s="13">
        <f t="shared" si="6"/>
        <v>2143.4840999999997</v>
      </c>
      <c r="E239" s="13">
        <f t="shared" si="7"/>
        <v>2194.9277183999998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2">
      <c r="A240" s="14"/>
      <c r="B240" s="33" t="s">
        <v>228</v>
      </c>
      <c r="C240" s="34"/>
      <c r="D240" s="34"/>
      <c r="E240" s="3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2">
      <c r="A241" s="11">
        <v>340227</v>
      </c>
      <c r="B241" s="12" t="s">
        <v>229</v>
      </c>
      <c r="C241" s="13">
        <v>42582.610144998005</v>
      </c>
      <c r="D241" s="13">
        <f t="shared" si="6"/>
        <v>43647.175398622952</v>
      </c>
      <c r="E241" s="13">
        <f t="shared" si="7"/>
        <v>44694.707608189907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2">
      <c r="A242" s="11">
        <v>900688</v>
      </c>
      <c r="B242" s="12" t="s">
        <v>230</v>
      </c>
      <c r="C242" s="13">
        <v>144780.87449299323</v>
      </c>
      <c r="D242" s="13">
        <f t="shared" si="6"/>
        <v>148400.39635531805</v>
      </c>
      <c r="E242" s="13">
        <f t="shared" si="7"/>
        <v>151962.0058678457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2">
      <c r="A243" s="11">
        <v>900163</v>
      </c>
      <c r="B243" s="12" t="s">
        <v>231</v>
      </c>
      <c r="C243" s="13">
        <v>81758.611478396153</v>
      </c>
      <c r="D243" s="13">
        <f t="shared" si="6"/>
        <v>83802.576765356047</v>
      </c>
      <c r="E243" s="13">
        <f t="shared" si="7"/>
        <v>85813.838607724596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2">
      <c r="A244" s="11">
        <v>900043</v>
      </c>
      <c r="B244" s="12" t="s">
        <v>232</v>
      </c>
      <c r="C244" s="13">
        <v>200989.91988439061</v>
      </c>
      <c r="D244" s="13">
        <f t="shared" si="6"/>
        <v>206014.66788150035</v>
      </c>
      <c r="E244" s="13">
        <f t="shared" si="7"/>
        <v>210959.01991065638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2">
      <c r="A245" s="11">
        <v>900667</v>
      </c>
      <c r="B245" s="12" t="s">
        <v>233</v>
      </c>
      <c r="C245" s="13">
        <v>241187.90386126871</v>
      </c>
      <c r="D245" s="13">
        <f t="shared" si="6"/>
        <v>247217.60145780043</v>
      </c>
      <c r="E245" s="13">
        <f t="shared" si="7"/>
        <v>253150.82389278765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2">
      <c r="A246" s="11">
        <v>900428</v>
      </c>
      <c r="B246" s="12" t="s">
        <v>234</v>
      </c>
      <c r="C246" s="13">
        <v>391760.01333398168</v>
      </c>
      <c r="D246" s="13">
        <f t="shared" si="6"/>
        <v>401554.01366733119</v>
      </c>
      <c r="E246" s="13">
        <f t="shared" si="7"/>
        <v>411191.30999534717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2">
      <c r="A247" s="11">
        <v>900689</v>
      </c>
      <c r="B247" s="26" t="s">
        <v>235</v>
      </c>
      <c r="C247" s="13">
        <v>166464</v>
      </c>
      <c r="D247" s="13">
        <f t="shared" si="6"/>
        <v>170625.59999999998</v>
      </c>
      <c r="E247" s="13">
        <f t="shared" si="7"/>
        <v>174720.61439999999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2">
      <c r="A248" s="35"/>
      <c r="B248" s="3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2">
      <c r="A249" s="35"/>
      <c r="B249" s="37" t="s">
        <v>236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2">
      <c r="A250" s="27"/>
      <c r="B250" s="3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2">
      <c r="A251" s="39" t="s">
        <v>162</v>
      </c>
      <c r="B251" s="34" t="s">
        <v>237</v>
      </c>
      <c r="C251" s="34"/>
      <c r="D251" s="34"/>
      <c r="E251" s="3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2">
      <c r="A252" s="40">
        <v>575</v>
      </c>
      <c r="B252" s="22" t="s">
        <v>238</v>
      </c>
      <c r="C252" s="18">
        <v>163160</v>
      </c>
      <c r="D252" s="18">
        <f t="shared" ref="D252:D275" si="8">IFERROR(C252*(1+$D$12),C252)</f>
        <v>167239</v>
      </c>
      <c r="E252" s="18">
        <f t="shared" si="7"/>
        <v>171252.736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2">
      <c r="A253" s="20">
        <v>588</v>
      </c>
      <c r="B253" s="41" t="s">
        <v>240</v>
      </c>
      <c r="C253" s="21" t="s">
        <v>1151</v>
      </c>
      <c r="D253" s="21" t="str">
        <f t="shared" si="8"/>
        <v>PRESUPUESTO</v>
      </c>
      <c r="E253" s="21" t="str">
        <f t="shared" si="7"/>
        <v>PRESUPUESTO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2">
      <c r="A254" s="11" t="s">
        <v>0</v>
      </c>
      <c r="B254" s="5" t="s">
        <v>241</v>
      </c>
      <c r="C254" s="34"/>
      <c r="D254" s="34"/>
      <c r="E254" s="3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2">
      <c r="A255" s="11" t="s">
        <v>0</v>
      </c>
      <c r="B255" s="22" t="s">
        <v>242</v>
      </c>
      <c r="C255" s="18" t="s">
        <v>243</v>
      </c>
      <c r="D255" s="18" t="str">
        <f t="shared" si="8"/>
        <v>Presupuesto</v>
      </c>
      <c r="E255" s="18" t="str">
        <f t="shared" si="7"/>
        <v>Presupuesto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2">
      <c r="A256" s="11"/>
      <c r="B256" s="22" t="s">
        <v>244</v>
      </c>
      <c r="C256" s="13">
        <v>370045.74896772549</v>
      </c>
      <c r="D256" s="13">
        <f t="shared" si="8"/>
        <v>379296.89269191859</v>
      </c>
      <c r="E256" s="13">
        <f t="shared" si="7"/>
        <v>388400.01811652462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2">
      <c r="A257" s="11"/>
      <c r="B257" s="22" t="s">
        <v>245</v>
      </c>
      <c r="C257" s="18" t="s">
        <v>243</v>
      </c>
      <c r="D257" s="18" t="str">
        <f t="shared" si="8"/>
        <v>Presupuesto</v>
      </c>
      <c r="E257" s="18" t="str">
        <f t="shared" si="7"/>
        <v>Presupuesto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2">
      <c r="A258" s="11"/>
      <c r="B258" s="22" t="s">
        <v>246</v>
      </c>
      <c r="C258" s="13">
        <v>277523.97178645787</v>
      </c>
      <c r="D258" s="13">
        <f t="shared" si="8"/>
        <v>284462.0710811193</v>
      </c>
      <c r="E258" s="13">
        <f t="shared" si="7"/>
        <v>291289.16078706615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2">
      <c r="A259" s="11"/>
      <c r="B259" s="22" t="s">
        <v>247</v>
      </c>
      <c r="C259" s="18" t="s">
        <v>243</v>
      </c>
      <c r="D259" s="18" t="str">
        <f t="shared" si="8"/>
        <v>Presupuesto</v>
      </c>
      <c r="E259" s="18" t="str">
        <f t="shared" si="7"/>
        <v>Presupuesto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2">
      <c r="A260" s="11"/>
      <c r="B260" s="5" t="s">
        <v>248</v>
      </c>
      <c r="C260" s="34"/>
      <c r="D260" s="34"/>
      <c r="E260" s="3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2">
      <c r="A261" s="11">
        <v>589</v>
      </c>
      <c r="B261" s="22" t="s">
        <v>249</v>
      </c>
      <c r="C261" s="13">
        <v>246194.8576298375</v>
      </c>
      <c r="D261" s="13">
        <f t="shared" si="8"/>
        <v>252349.72907058342</v>
      </c>
      <c r="E261" s="13">
        <f t="shared" si="7"/>
        <v>258406.12256827744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2">
      <c r="A262" s="11"/>
      <c r="B262" s="5" t="s">
        <v>250</v>
      </c>
      <c r="C262" s="34"/>
      <c r="D262" s="34"/>
      <c r="E262" s="3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2">
      <c r="A263" s="11">
        <v>591</v>
      </c>
      <c r="B263" s="22" t="s">
        <v>251</v>
      </c>
      <c r="C263" s="13">
        <v>277391.77368100948</v>
      </c>
      <c r="D263" s="13">
        <f t="shared" si="8"/>
        <v>284326.56802303472</v>
      </c>
      <c r="E263" s="13">
        <f t="shared" si="7"/>
        <v>291150.40565558756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2">
      <c r="A264" s="11" t="s">
        <v>0</v>
      </c>
      <c r="B264" s="5" t="s">
        <v>252</v>
      </c>
      <c r="C264" s="34"/>
      <c r="D264" s="34"/>
      <c r="E264" s="3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2">
      <c r="A265" s="11">
        <v>592</v>
      </c>
      <c r="B265" s="22" t="s">
        <v>253</v>
      </c>
      <c r="C265" s="13">
        <v>508519.39012204565</v>
      </c>
      <c r="D265" s="13">
        <f t="shared" si="8"/>
        <v>521232.37487509672</v>
      </c>
      <c r="E265" s="13">
        <f t="shared" si="7"/>
        <v>533741.95187209907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2">
      <c r="A266" s="11"/>
      <c r="B266" s="5" t="s">
        <v>254</v>
      </c>
      <c r="C266" s="5"/>
      <c r="D266" s="5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2">
      <c r="A267" s="11">
        <v>593</v>
      </c>
      <c r="B267" s="22" t="s">
        <v>255</v>
      </c>
      <c r="C267" s="13">
        <v>246194.8576298375</v>
      </c>
      <c r="D267" s="13">
        <f t="shared" si="8"/>
        <v>252349.72907058342</v>
      </c>
      <c r="E267" s="13">
        <f t="shared" si="7"/>
        <v>258406.12256827744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2">
      <c r="A268" s="11"/>
      <c r="B268" s="5" t="s">
        <v>256</v>
      </c>
      <c r="C268" s="5"/>
      <c r="D268" s="5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2">
      <c r="A269" s="11">
        <v>594</v>
      </c>
      <c r="B269" s="22" t="s">
        <v>255</v>
      </c>
      <c r="C269" s="13">
        <v>246194.8576298375</v>
      </c>
      <c r="D269" s="13">
        <f t="shared" si="8"/>
        <v>252349.72907058342</v>
      </c>
      <c r="E269" s="13">
        <f t="shared" si="7"/>
        <v>258406.12256827744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2">
      <c r="A270" s="11"/>
      <c r="B270" s="5" t="s">
        <v>257</v>
      </c>
      <c r="C270" s="5"/>
      <c r="D270" s="5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2">
      <c r="A271" s="11">
        <v>596</v>
      </c>
      <c r="B271" s="22" t="s">
        <v>258</v>
      </c>
      <c r="C271" s="13">
        <v>186022.47775404743</v>
      </c>
      <c r="D271" s="13">
        <f t="shared" si="8"/>
        <v>190673.03969789861</v>
      </c>
      <c r="E271" s="13">
        <f t="shared" si="7"/>
        <v>195249.19265064818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2">
      <c r="A272" s="11"/>
      <c r="B272" s="22" t="s">
        <v>259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2">
      <c r="A273" s="11"/>
      <c r="B273" s="22" t="s">
        <v>260</v>
      </c>
      <c r="C273" s="18" t="s">
        <v>239</v>
      </c>
      <c r="D273" s="18" t="str">
        <f t="shared" si="8"/>
        <v>Kairos 100%</v>
      </c>
      <c r="E273" s="18" t="str">
        <f t="shared" ref="E273:E335" si="9">IFERROR(D273*(1+$E$12),D273)</f>
        <v>Kairos 100%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2">
      <c r="A274" s="11"/>
      <c r="B274" s="5" t="s">
        <v>261</v>
      </c>
      <c r="C274" s="5"/>
      <c r="D274" s="5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2">
      <c r="A275" s="11">
        <v>597</v>
      </c>
      <c r="B275" s="42" t="s">
        <v>262</v>
      </c>
      <c r="C275" s="13">
        <v>62424</v>
      </c>
      <c r="D275" s="13">
        <f t="shared" si="8"/>
        <v>63984.599999999991</v>
      </c>
      <c r="E275" s="13">
        <f t="shared" si="9"/>
        <v>65520.230399999993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2">
      <c r="A276" s="11"/>
      <c r="B276" s="42" t="s">
        <v>263</v>
      </c>
      <c r="C276" s="43"/>
      <c r="D276" s="43"/>
      <c r="E276" s="4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2">
      <c r="A277" s="11"/>
      <c r="B277" s="42" t="s">
        <v>264</v>
      </c>
      <c r="C277" s="43"/>
      <c r="D277" s="43"/>
      <c r="E277" s="4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2">
      <c r="A278" s="44"/>
      <c r="B278" s="45"/>
      <c r="C278" s="45"/>
      <c r="D278" s="45"/>
      <c r="E278" s="4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2">
      <c r="A279" s="35"/>
      <c r="B279" s="45" t="s">
        <v>265</v>
      </c>
      <c r="C279" s="45"/>
      <c r="D279" s="45"/>
      <c r="E279" s="4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2">
      <c r="A280" s="35"/>
      <c r="B280" s="45"/>
      <c r="C280" s="45"/>
      <c r="D280" s="45"/>
      <c r="E280" s="4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2">
      <c r="A281" s="11"/>
      <c r="B281" s="22" t="s">
        <v>266</v>
      </c>
      <c r="C281" s="13">
        <v>239633.2071439703</v>
      </c>
      <c r="D281" s="13">
        <f t="shared" ref="D281:D335" si="10">IFERROR(C281*(1+$D$12),C281)</f>
        <v>245624.03732256952</v>
      </c>
      <c r="E281" s="13">
        <f t="shared" si="9"/>
        <v>251519.0142183112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2">
      <c r="A282" s="11"/>
      <c r="B282" s="22" t="s">
        <v>267</v>
      </c>
      <c r="C282" s="13">
        <v>239633.2071439703</v>
      </c>
      <c r="D282" s="13">
        <f t="shared" si="10"/>
        <v>245624.03732256952</v>
      </c>
      <c r="E282" s="13">
        <f t="shared" si="9"/>
        <v>251519.0142183112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2">
      <c r="A283" s="11"/>
      <c r="B283" s="22" t="s">
        <v>268</v>
      </c>
      <c r="C283" s="13">
        <v>239633.2071439703</v>
      </c>
      <c r="D283" s="13">
        <f t="shared" si="10"/>
        <v>245624.03732256952</v>
      </c>
      <c r="E283" s="13">
        <f t="shared" si="9"/>
        <v>251519.0142183112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2">
      <c r="A284" s="11"/>
      <c r="B284" s="22" t="s">
        <v>269</v>
      </c>
      <c r="C284" s="13">
        <v>239633.2071439703</v>
      </c>
      <c r="D284" s="13">
        <f t="shared" si="10"/>
        <v>245624.03732256952</v>
      </c>
      <c r="E284" s="13">
        <f t="shared" si="9"/>
        <v>251519.0142183112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2">
      <c r="A285" s="11"/>
      <c r="B285" s="22" t="s">
        <v>270</v>
      </c>
      <c r="C285" s="13">
        <v>239633.2071439703</v>
      </c>
      <c r="D285" s="13">
        <f t="shared" si="10"/>
        <v>245624.03732256952</v>
      </c>
      <c r="E285" s="13">
        <f t="shared" si="9"/>
        <v>251519.0142183112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2">
      <c r="A286" s="11"/>
      <c r="B286" s="22" t="s">
        <v>271</v>
      </c>
      <c r="C286" s="13">
        <v>239633.2071439703</v>
      </c>
      <c r="D286" s="13">
        <f t="shared" si="10"/>
        <v>245624.03732256952</v>
      </c>
      <c r="E286" s="13">
        <f t="shared" si="9"/>
        <v>251519.0142183112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2">
      <c r="A287" s="11"/>
      <c r="B287" s="22" t="s">
        <v>272</v>
      </c>
      <c r="C287" s="13">
        <v>239633.2071439703</v>
      </c>
      <c r="D287" s="13">
        <f t="shared" si="10"/>
        <v>245624.03732256952</v>
      </c>
      <c r="E287" s="13">
        <f t="shared" si="9"/>
        <v>251519.0142183112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2">
      <c r="A288" s="11"/>
      <c r="B288" s="22" t="s">
        <v>273</v>
      </c>
      <c r="C288" s="13">
        <v>239633.2071439703</v>
      </c>
      <c r="D288" s="13">
        <f t="shared" si="10"/>
        <v>245624.03732256952</v>
      </c>
      <c r="E288" s="13">
        <f t="shared" si="9"/>
        <v>251519.0142183112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2">
      <c r="A289" s="11"/>
      <c r="B289" s="22" t="s">
        <v>274</v>
      </c>
      <c r="C289" s="13">
        <v>239633.2071439703</v>
      </c>
      <c r="D289" s="13">
        <f t="shared" si="10"/>
        <v>245624.03732256952</v>
      </c>
      <c r="E289" s="13">
        <f t="shared" si="9"/>
        <v>251519.0142183112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2">
      <c r="A290" s="11"/>
      <c r="B290" s="22" t="s">
        <v>275</v>
      </c>
      <c r="C290" s="13">
        <v>239633.2071439703</v>
      </c>
      <c r="D290" s="13">
        <f t="shared" si="10"/>
        <v>245624.03732256952</v>
      </c>
      <c r="E290" s="13">
        <f t="shared" si="9"/>
        <v>251519.0142183112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2">
      <c r="A291" s="11"/>
      <c r="B291" s="22" t="s">
        <v>276</v>
      </c>
      <c r="C291" s="13">
        <v>359412.21529594541</v>
      </c>
      <c r="D291" s="13">
        <f t="shared" si="10"/>
        <v>368397.52067834401</v>
      </c>
      <c r="E291" s="13">
        <f t="shared" si="9"/>
        <v>377239.06117462425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2">
      <c r="A292" s="11"/>
      <c r="B292" s="22" t="s">
        <v>277</v>
      </c>
      <c r="C292" s="13">
        <v>287604.96307677648</v>
      </c>
      <c r="D292" s="13">
        <f t="shared" si="10"/>
        <v>294795.08715369587</v>
      </c>
      <c r="E292" s="13">
        <f t="shared" si="9"/>
        <v>301870.16924538458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2">
      <c r="A293" s="11"/>
      <c r="B293" s="22" t="s">
        <v>278</v>
      </c>
      <c r="C293" s="13">
        <v>287604.96307677648</v>
      </c>
      <c r="D293" s="13">
        <f t="shared" si="10"/>
        <v>294795.08715369587</v>
      </c>
      <c r="E293" s="13">
        <f t="shared" si="9"/>
        <v>301870.16924538458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2">
      <c r="A294" s="11"/>
      <c r="B294" s="22" t="s">
        <v>279</v>
      </c>
      <c r="C294" s="13">
        <v>203767.17645439587</v>
      </c>
      <c r="D294" s="13">
        <f t="shared" si="10"/>
        <v>208861.35586575576</v>
      </c>
      <c r="E294" s="13">
        <f t="shared" si="9"/>
        <v>213874.02840653391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2">
      <c r="A295" s="11"/>
      <c r="B295" s="22" t="s">
        <v>280</v>
      </c>
      <c r="C295" s="13">
        <v>239633.2071439703</v>
      </c>
      <c r="D295" s="13">
        <f t="shared" si="10"/>
        <v>245624.03732256952</v>
      </c>
      <c r="E295" s="13">
        <f t="shared" si="9"/>
        <v>251519.0142183112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2">
      <c r="A296" s="11"/>
      <c r="B296" s="22" t="s">
        <v>281</v>
      </c>
      <c r="C296" s="18" t="s">
        <v>239</v>
      </c>
      <c r="D296" s="18" t="str">
        <f t="shared" si="10"/>
        <v>Kairos 100%</v>
      </c>
      <c r="E296" s="18" t="str">
        <f t="shared" si="9"/>
        <v>Kairos 100%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2">
      <c r="A297" s="11"/>
      <c r="B297" s="45" t="s">
        <v>282</v>
      </c>
      <c r="C297" s="45"/>
      <c r="D297" s="45"/>
      <c r="E297" s="4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2">
      <c r="A298" s="11"/>
      <c r="B298" s="22" t="s">
        <v>283</v>
      </c>
      <c r="C298" s="13">
        <v>321064.88688570849</v>
      </c>
      <c r="D298" s="13">
        <f t="shared" si="10"/>
        <v>329091.50905785116</v>
      </c>
      <c r="E298" s="13">
        <f t="shared" si="9"/>
        <v>336989.7052752396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2">
      <c r="A299" s="11"/>
      <c r="B299" s="22" t="s">
        <v>284</v>
      </c>
      <c r="C299" s="13">
        <v>321064.88688570849</v>
      </c>
      <c r="D299" s="13">
        <f t="shared" si="10"/>
        <v>329091.50905785116</v>
      </c>
      <c r="E299" s="13">
        <f t="shared" si="9"/>
        <v>336989.7052752396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2">
      <c r="A300" s="11"/>
      <c r="B300" s="22" t="s">
        <v>285</v>
      </c>
      <c r="C300" s="13">
        <v>321064.88688570849</v>
      </c>
      <c r="D300" s="13">
        <f t="shared" si="10"/>
        <v>329091.50905785116</v>
      </c>
      <c r="E300" s="13">
        <f t="shared" si="9"/>
        <v>336989.7052752396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2">
      <c r="A301" s="11"/>
      <c r="B301" s="22" t="s">
        <v>286</v>
      </c>
      <c r="C301" s="13">
        <v>321064.88688570849</v>
      </c>
      <c r="D301" s="13">
        <f t="shared" si="10"/>
        <v>329091.50905785116</v>
      </c>
      <c r="E301" s="13">
        <f t="shared" si="9"/>
        <v>336989.7052752396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2">
      <c r="A302" s="11"/>
      <c r="B302" s="22" t="s">
        <v>287</v>
      </c>
      <c r="C302" s="13">
        <v>321064.88688570849</v>
      </c>
      <c r="D302" s="13">
        <f t="shared" si="10"/>
        <v>329091.50905785116</v>
      </c>
      <c r="E302" s="13">
        <f t="shared" si="9"/>
        <v>336989.7052752396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2">
      <c r="A303" s="11"/>
      <c r="B303" s="22" t="s">
        <v>288</v>
      </c>
      <c r="C303" s="13">
        <v>321064.88688570849</v>
      </c>
      <c r="D303" s="13">
        <f t="shared" si="10"/>
        <v>329091.50905785116</v>
      </c>
      <c r="E303" s="13">
        <f t="shared" si="9"/>
        <v>336989.7052752396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2">
      <c r="A304" s="11"/>
      <c r="B304" s="22" t="s">
        <v>289</v>
      </c>
      <c r="C304" s="13">
        <v>321064.88688570849</v>
      </c>
      <c r="D304" s="13">
        <f t="shared" si="10"/>
        <v>329091.50905785116</v>
      </c>
      <c r="E304" s="13">
        <f t="shared" si="9"/>
        <v>336989.7052752396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2">
      <c r="A305" s="11"/>
      <c r="B305" s="22" t="s">
        <v>290</v>
      </c>
      <c r="C305" s="13">
        <v>321064.88688570849</v>
      </c>
      <c r="D305" s="13">
        <f t="shared" si="10"/>
        <v>329091.50905785116</v>
      </c>
      <c r="E305" s="13">
        <f t="shared" si="9"/>
        <v>336989.7052752396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2">
      <c r="A306" s="11"/>
      <c r="B306" s="22" t="s">
        <v>291</v>
      </c>
      <c r="C306" s="13">
        <v>321064.88688570849</v>
      </c>
      <c r="D306" s="13">
        <f t="shared" si="10"/>
        <v>329091.50905785116</v>
      </c>
      <c r="E306" s="13">
        <f t="shared" si="9"/>
        <v>336989.7052752396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2">
      <c r="A307" s="11"/>
      <c r="B307" s="22" t="s">
        <v>292</v>
      </c>
      <c r="C307" s="13">
        <v>513703.81901713373</v>
      </c>
      <c r="D307" s="13">
        <f t="shared" si="10"/>
        <v>526546.41449256206</v>
      </c>
      <c r="E307" s="13">
        <f t="shared" si="9"/>
        <v>539183.52844038361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2">
      <c r="A308" s="11"/>
      <c r="B308" s="22" t="s">
        <v>293</v>
      </c>
      <c r="C308" s="13">
        <v>577916.79639427538</v>
      </c>
      <c r="D308" s="13">
        <f t="shared" si="10"/>
        <v>592364.71630413225</v>
      </c>
      <c r="E308" s="13">
        <f t="shared" si="9"/>
        <v>606581.4694954314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2">
      <c r="A309" s="11"/>
      <c r="B309" s="22" t="s">
        <v>294</v>
      </c>
      <c r="C309" s="13">
        <v>481597.33032856294</v>
      </c>
      <c r="D309" s="13">
        <f t="shared" si="10"/>
        <v>493637.26358677697</v>
      </c>
      <c r="E309" s="13">
        <f t="shared" si="9"/>
        <v>505484.55791285966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2">
      <c r="A310" s="11"/>
      <c r="B310" s="22" t="s">
        <v>295</v>
      </c>
      <c r="C310" s="13">
        <v>481597.33032856294</v>
      </c>
      <c r="D310" s="13">
        <f t="shared" si="10"/>
        <v>493637.26358677697</v>
      </c>
      <c r="E310" s="13">
        <f t="shared" si="9"/>
        <v>505484.55791285966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2">
      <c r="A311" s="11"/>
      <c r="B311" s="22" t="s">
        <v>296</v>
      </c>
      <c r="C311" s="13">
        <v>513741.41443714377</v>
      </c>
      <c r="D311" s="13">
        <f t="shared" si="10"/>
        <v>526584.94979807234</v>
      </c>
      <c r="E311" s="13">
        <f t="shared" si="9"/>
        <v>539222.98859322607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2">
      <c r="A312" s="11"/>
      <c r="B312" s="46" t="s">
        <v>297</v>
      </c>
      <c r="C312" s="13">
        <v>481597.33032856294</v>
      </c>
      <c r="D312" s="13">
        <f t="shared" si="10"/>
        <v>493637.26358677697</v>
      </c>
      <c r="E312" s="13">
        <f t="shared" si="9"/>
        <v>505484.55791285966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42" x14ac:dyDescent="0.2">
      <c r="A313" s="1"/>
      <c r="B313" s="28" t="s">
        <v>298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2">
      <c r="A314" s="47"/>
      <c r="B314" s="34" t="s">
        <v>3</v>
      </c>
      <c r="C314" s="5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2">
      <c r="A315" s="48" t="s">
        <v>2</v>
      </c>
      <c r="B315" s="33" t="s">
        <v>299</v>
      </c>
      <c r="C315" s="33"/>
      <c r="D315" s="33"/>
      <c r="E315" s="3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2">
      <c r="A316" s="11">
        <v>420101</v>
      </c>
      <c r="B316" s="22" t="s">
        <v>300</v>
      </c>
      <c r="C316" s="13">
        <v>27050.400000000001</v>
      </c>
      <c r="D316" s="13">
        <f t="shared" si="10"/>
        <v>27726.66</v>
      </c>
      <c r="E316" s="13">
        <f t="shared" si="9"/>
        <v>28392.099839999999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2">
      <c r="A317" s="11">
        <v>420103</v>
      </c>
      <c r="B317" s="22" t="s">
        <v>301</v>
      </c>
      <c r="C317" s="13">
        <v>31212</v>
      </c>
      <c r="D317" s="13">
        <f t="shared" si="10"/>
        <v>31992.299999999996</v>
      </c>
      <c r="E317" s="13">
        <f t="shared" si="9"/>
        <v>32760.115199999997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2">
      <c r="A318" s="11" t="s">
        <v>103</v>
      </c>
      <c r="B318" s="22" t="s">
        <v>302</v>
      </c>
      <c r="C318" s="13">
        <v>1248.48</v>
      </c>
      <c r="D318" s="13">
        <f t="shared" si="10"/>
        <v>1279.692</v>
      </c>
      <c r="E318" s="13">
        <f t="shared" si="9"/>
        <v>1310.4046080000001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2">
      <c r="A319" s="11" t="s">
        <v>103</v>
      </c>
      <c r="B319" s="22" t="s">
        <v>303</v>
      </c>
      <c r="C319" s="13">
        <v>1976.76</v>
      </c>
      <c r="D319" s="13">
        <f t="shared" si="10"/>
        <v>2026.1789999999999</v>
      </c>
      <c r="E319" s="13">
        <f t="shared" si="9"/>
        <v>2074.807296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2">
      <c r="A320" s="11" t="s">
        <v>103</v>
      </c>
      <c r="B320" s="22" t="s">
        <v>304</v>
      </c>
      <c r="C320" s="13">
        <v>1404.54</v>
      </c>
      <c r="D320" s="13">
        <f t="shared" si="10"/>
        <v>1439.6534999999999</v>
      </c>
      <c r="E320" s="13">
        <f t="shared" si="9"/>
        <v>1474.2051839999999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2">
      <c r="A321" s="11">
        <v>900023</v>
      </c>
      <c r="B321" s="49" t="s">
        <v>305</v>
      </c>
      <c r="C321" s="13">
        <v>50665.702747900265</v>
      </c>
      <c r="D321" s="13">
        <f t="shared" si="10"/>
        <v>51932.34531659777</v>
      </c>
      <c r="E321" s="13">
        <f t="shared" si="9"/>
        <v>53178.721604196115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2">
      <c r="A322" s="11">
        <v>900022</v>
      </c>
      <c r="B322" s="49" t="s">
        <v>306</v>
      </c>
      <c r="C322" s="13">
        <v>38464.574331058961</v>
      </c>
      <c r="D322" s="13">
        <f t="shared" si="10"/>
        <v>39426.188689335431</v>
      </c>
      <c r="E322" s="13">
        <f t="shared" si="9"/>
        <v>40372.417217879483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2">
      <c r="A323" s="11">
        <v>170101</v>
      </c>
      <c r="B323" s="22" t="s">
        <v>307</v>
      </c>
      <c r="C323" s="13">
        <v>7990.8690650955477</v>
      </c>
      <c r="D323" s="13">
        <f t="shared" si="10"/>
        <v>8190.6407917229353</v>
      </c>
      <c r="E323" s="13">
        <f t="shared" si="9"/>
        <v>8387.2161707242867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2">
      <c r="A324" s="11" t="s">
        <v>103</v>
      </c>
      <c r="B324" s="22" t="s">
        <v>308</v>
      </c>
      <c r="C324" s="13">
        <v>1407.6534873049234</v>
      </c>
      <c r="D324" s="13">
        <f t="shared" si="10"/>
        <v>1442.8448244875462</v>
      </c>
      <c r="E324" s="13">
        <f t="shared" si="9"/>
        <v>1477.4731002752474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2">
      <c r="A325" s="11" t="s">
        <v>103</v>
      </c>
      <c r="B325" s="22" t="s">
        <v>309</v>
      </c>
      <c r="C325" s="13">
        <v>171.27023131390823</v>
      </c>
      <c r="D325" s="13">
        <f t="shared" si="10"/>
        <v>175.55198709675591</v>
      </c>
      <c r="E325" s="13">
        <f t="shared" si="9"/>
        <v>179.76523478707804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2">
      <c r="A326" s="11"/>
      <c r="B326" s="22" t="s">
        <v>260</v>
      </c>
      <c r="C326" s="18" t="s">
        <v>239</v>
      </c>
      <c r="D326" s="18" t="str">
        <f t="shared" si="10"/>
        <v>Kairos 100%</v>
      </c>
      <c r="E326" s="18" t="str">
        <f t="shared" si="9"/>
        <v>Kairos 100%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2">
      <c r="A327" s="11"/>
      <c r="B327" s="22" t="s">
        <v>310</v>
      </c>
      <c r="C327" s="18" t="s">
        <v>311</v>
      </c>
      <c r="D327" s="18" t="str">
        <f t="shared" si="10"/>
        <v>Valores de mercado</v>
      </c>
      <c r="E327" s="18" t="str">
        <f t="shared" si="9"/>
        <v>Valores de mercado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2">
      <c r="A328" s="11">
        <v>436</v>
      </c>
      <c r="B328" s="22" t="s">
        <v>312</v>
      </c>
      <c r="C328" s="13">
        <v>45777.599999999999</v>
      </c>
      <c r="D328" s="13">
        <f t="shared" si="10"/>
        <v>46922.039999999994</v>
      </c>
      <c r="E328" s="13">
        <f t="shared" si="9"/>
        <v>48048.168959999995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2">
      <c r="A329" s="11">
        <v>437</v>
      </c>
      <c r="B329" s="22" t="s">
        <v>313</v>
      </c>
      <c r="C329" s="13">
        <v>64504.800000000003</v>
      </c>
      <c r="D329" s="13">
        <f t="shared" si="10"/>
        <v>66117.42</v>
      </c>
      <c r="E329" s="13">
        <f t="shared" si="9"/>
        <v>67704.238079999996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2">
      <c r="A330" s="11">
        <v>438</v>
      </c>
      <c r="B330" s="22" t="s">
        <v>314</v>
      </c>
      <c r="C330" s="13">
        <v>83232</v>
      </c>
      <c r="D330" s="13">
        <f t="shared" si="10"/>
        <v>85312.799999999988</v>
      </c>
      <c r="E330" s="13">
        <f t="shared" si="9"/>
        <v>87360.307199999996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2">
      <c r="A331" s="11">
        <v>130120</v>
      </c>
      <c r="B331" s="22" t="s">
        <v>315</v>
      </c>
      <c r="C331" s="13">
        <v>55141.200000000004</v>
      </c>
      <c r="D331" s="13">
        <f t="shared" si="10"/>
        <v>56519.73</v>
      </c>
      <c r="E331" s="13">
        <f t="shared" si="9"/>
        <v>57876.203520000003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2">
      <c r="A332" s="11">
        <v>130121</v>
      </c>
      <c r="B332" s="22" t="s">
        <v>316</v>
      </c>
      <c r="C332" s="13">
        <v>91555.199999999997</v>
      </c>
      <c r="D332" s="13">
        <f t="shared" si="10"/>
        <v>93844.079999999987</v>
      </c>
      <c r="E332" s="13">
        <f t="shared" si="9"/>
        <v>96096.337919999991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2">
      <c r="A333" s="11">
        <v>130122</v>
      </c>
      <c r="B333" s="22" t="s">
        <v>317</v>
      </c>
      <c r="C333" s="13">
        <v>173746.80000000002</v>
      </c>
      <c r="D333" s="13">
        <f t="shared" si="10"/>
        <v>178090.47</v>
      </c>
      <c r="E333" s="13">
        <f t="shared" si="9"/>
        <v>182364.64128000001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2">
      <c r="A334" s="11">
        <v>130123</v>
      </c>
      <c r="B334" s="22" t="s">
        <v>318</v>
      </c>
      <c r="C334" s="13">
        <v>20808</v>
      </c>
      <c r="D334" s="13">
        <f t="shared" si="10"/>
        <v>21328.199999999997</v>
      </c>
      <c r="E334" s="13">
        <f t="shared" si="9"/>
        <v>21840.076799999999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2">
      <c r="A335" s="11">
        <v>901108</v>
      </c>
      <c r="B335" s="46" t="s">
        <v>319</v>
      </c>
      <c r="C335" s="13">
        <v>20808</v>
      </c>
      <c r="D335" s="13">
        <f t="shared" si="10"/>
        <v>21328.199999999997</v>
      </c>
      <c r="E335" s="13">
        <f t="shared" si="9"/>
        <v>21840.076799999999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2">
      <c r="A336" s="1"/>
      <c r="B336" s="5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42" x14ac:dyDescent="0.2">
      <c r="A337" s="1"/>
      <c r="B337" s="51" t="s">
        <v>320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2">
      <c r="A338" s="52" t="s">
        <v>2</v>
      </c>
      <c r="B338" s="53" t="s">
        <v>321</v>
      </c>
      <c r="C338" s="54"/>
      <c r="D338" s="54"/>
      <c r="E338" s="5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2">
      <c r="A339" s="55">
        <v>420101</v>
      </c>
      <c r="B339" s="22" t="s">
        <v>322</v>
      </c>
      <c r="C339" s="13">
        <v>22888.799999999999</v>
      </c>
      <c r="D339" s="13">
        <f t="shared" ref="D339:D402" si="11">IFERROR(C339*(1+$D$12),C339)</f>
        <v>23461.019999999997</v>
      </c>
      <c r="E339" s="13">
        <f t="shared" ref="E339:E398" si="12">IFERROR(D339*(1+$E$12),D339)</f>
        <v>24024.084479999998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customHeight="1" x14ac:dyDescent="0.2">
      <c r="A340" s="55">
        <v>19</v>
      </c>
      <c r="B340" s="22" t="s">
        <v>323</v>
      </c>
      <c r="C340" s="13">
        <v>193823.41316548633</v>
      </c>
      <c r="D340" s="13">
        <f t="shared" si="11"/>
        <v>198668.99849462346</v>
      </c>
      <c r="E340" s="13">
        <f t="shared" si="12"/>
        <v>203437.05445849441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customHeight="1" x14ac:dyDescent="0.2">
      <c r="A341" s="55" t="s">
        <v>324</v>
      </c>
      <c r="B341" s="22" t="s">
        <v>325</v>
      </c>
      <c r="C341" s="13">
        <v>1144.44</v>
      </c>
      <c r="D341" s="13">
        <f t="shared" si="11"/>
        <v>1173.0509999999999</v>
      </c>
      <c r="E341" s="13">
        <f t="shared" si="12"/>
        <v>1201.2042240000001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customHeight="1" x14ac:dyDescent="0.2">
      <c r="A342" s="55" t="s">
        <v>103</v>
      </c>
      <c r="B342" s="22" t="s">
        <v>326</v>
      </c>
      <c r="C342" s="13">
        <v>1976.76</v>
      </c>
      <c r="D342" s="13">
        <f t="shared" si="11"/>
        <v>2026.1789999999999</v>
      </c>
      <c r="E342" s="13">
        <f t="shared" si="12"/>
        <v>2074.807296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customHeight="1" x14ac:dyDescent="0.2">
      <c r="A343" s="55" t="s">
        <v>103</v>
      </c>
      <c r="B343" s="22" t="s">
        <v>327</v>
      </c>
      <c r="C343" s="13">
        <v>1404.54</v>
      </c>
      <c r="D343" s="13">
        <f t="shared" si="11"/>
        <v>1439.6534999999999</v>
      </c>
      <c r="E343" s="13">
        <f t="shared" si="12"/>
        <v>1474.2051839999999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customHeight="1" x14ac:dyDescent="0.2">
      <c r="A344" s="55" t="s">
        <v>103</v>
      </c>
      <c r="B344" s="22" t="s">
        <v>328</v>
      </c>
      <c r="C344" s="13">
        <v>1414.944</v>
      </c>
      <c r="D344" s="13">
        <f t="shared" si="11"/>
        <v>1450.3175999999999</v>
      </c>
      <c r="E344" s="13">
        <f t="shared" si="12"/>
        <v>1485.1252224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customHeight="1" x14ac:dyDescent="0.2">
      <c r="A345" s="56"/>
      <c r="B345" s="24" t="s">
        <v>329</v>
      </c>
      <c r="C345" s="5"/>
      <c r="D345" s="5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customHeight="1" x14ac:dyDescent="0.2">
      <c r="A346" s="55">
        <v>170101</v>
      </c>
      <c r="B346" s="22" t="s">
        <v>307</v>
      </c>
      <c r="C346" s="13">
        <v>12484.800000000001</v>
      </c>
      <c r="D346" s="13">
        <f t="shared" si="11"/>
        <v>12796.92</v>
      </c>
      <c r="E346" s="13">
        <f t="shared" si="12"/>
        <v>13104.04608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75" customHeight="1" x14ac:dyDescent="0.2">
      <c r="A347" s="55">
        <v>170121</v>
      </c>
      <c r="B347" s="22" t="s">
        <v>330</v>
      </c>
      <c r="C347" s="13">
        <v>37189.098682073301</v>
      </c>
      <c r="D347" s="13">
        <f t="shared" si="11"/>
        <v>38118.826149125132</v>
      </c>
      <c r="E347" s="13">
        <f t="shared" si="12"/>
        <v>39033.677976704137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75" customHeight="1" x14ac:dyDescent="0.2">
      <c r="A348" s="55">
        <v>900201</v>
      </c>
      <c r="B348" s="22" t="s">
        <v>196</v>
      </c>
      <c r="C348" s="13">
        <v>69170.63955943349</v>
      </c>
      <c r="D348" s="13">
        <f t="shared" si="11"/>
        <v>70899.905548419323</v>
      </c>
      <c r="E348" s="13">
        <f t="shared" si="12"/>
        <v>72601.50328158139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75" customHeight="1" x14ac:dyDescent="0.2">
      <c r="A349" s="55">
        <v>170120</v>
      </c>
      <c r="B349" s="22" t="s">
        <v>331</v>
      </c>
      <c r="C349" s="13">
        <v>69706.8</v>
      </c>
      <c r="D349" s="13">
        <f t="shared" si="11"/>
        <v>71449.47</v>
      </c>
      <c r="E349" s="13">
        <f t="shared" si="12"/>
        <v>73164.257280000005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75" customHeight="1" x14ac:dyDescent="0.2">
      <c r="A350" s="55">
        <v>900013</v>
      </c>
      <c r="B350" s="22" t="s">
        <v>332</v>
      </c>
      <c r="C350" s="13">
        <v>29131.200000000001</v>
      </c>
      <c r="D350" s="13">
        <f t="shared" si="11"/>
        <v>29859.48</v>
      </c>
      <c r="E350" s="13">
        <f t="shared" si="12"/>
        <v>30576.107520000001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75" customHeight="1" x14ac:dyDescent="0.2">
      <c r="A351" s="55">
        <v>900666</v>
      </c>
      <c r="B351" s="22" t="s">
        <v>333</v>
      </c>
      <c r="C351" s="13">
        <v>38494.800000000003</v>
      </c>
      <c r="D351" s="13">
        <f t="shared" si="11"/>
        <v>39457.17</v>
      </c>
      <c r="E351" s="13">
        <f t="shared" si="12"/>
        <v>40404.142079999998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75" customHeight="1" x14ac:dyDescent="0.2">
      <c r="A352" s="55">
        <v>170119</v>
      </c>
      <c r="B352" s="22" t="s">
        <v>334</v>
      </c>
      <c r="C352" s="13">
        <v>76989.600000000006</v>
      </c>
      <c r="D352" s="13">
        <f t="shared" si="11"/>
        <v>78914.34</v>
      </c>
      <c r="E352" s="13">
        <f t="shared" si="12"/>
        <v>80808.284159999996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75" customHeight="1" x14ac:dyDescent="0.2">
      <c r="A353" s="55">
        <v>180302</v>
      </c>
      <c r="B353" s="22" t="s">
        <v>335</v>
      </c>
      <c r="C353" s="13">
        <v>131090.4</v>
      </c>
      <c r="D353" s="13">
        <f t="shared" si="11"/>
        <v>134367.65999999997</v>
      </c>
      <c r="E353" s="13">
        <f t="shared" si="12"/>
        <v>137592.48383999997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75" customHeight="1" x14ac:dyDescent="0.2">
      <c r="A354" s="55">
        <v>900688</v>
      </c>
      <c r="B354" s="22" t="s">
        <v>336</v>
      </c>
      <c r="C354" s="13">
        <v>131090.4</v>
      </c>
      <c r="D354" s="13">
        <f t="shared" si="11"/>
        <v>134367.65999999997</v>
      </c>
      <c r="E354" s="13">
        <f t="shared" si="12"/>
        <v>137592.48383999997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75" customHeight="1" x14ac:dyDescent="0.2">
      <c r="A355" s="56"/>
      <c r="B355" s="24" t="s">
        <v>337</v>
      </c>
      <c r="C355" s="5"/>
      <c r="D355" s="5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75" customHeight="1" x14ac:dyDescent="0.2">
      <c r="A356" s="55">
        <v>345001</v>
      </c>
      <c r="B356" s="22" t="s">
        <v>338</v>
      </c>
      <c r="C356" s="13">
        <v>45506.999710153628</v>
      </c>
      <c r="D356" s="13">
        <f t="shared" si="11"/>
        <v>46644.674702907461</v>
      </c>
      <c r="E356" s="13">
        <f t="shared" si="12"/>
        <v>47764.146895777245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75" customHeight="1" x14ac:dyDescent="0.2">
      <c r="A357" s="55">
        <v>345002</v>
      </c>
      <c r="B357" s="22" t="s">
        <v>339</v>
      </c>
      <c r="C357" s="13">
        <v>81912.599478276519</v>
      </c>
      <c r="D357" s="13">
        <f t="shared" si="11"/>
        <v>83960.414465233422</v>
      </c>
      <c r="E357" s="13">
        <f t="shared" si="12"/>
        <v>85975.464412399029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75" customHeight="1" x14ac:dyDescent="0.2">
      <c r="A358" s="55">
        <v>345003</v>
      </c>
      <c r="B358" s="22" t="s">
        <v>340</v>
      </c>
      <c r="C358" s="13">
        <v>182027.99884061451</v>
      </c>
      <c r="D358" s="13">
        <f t="shared" si="11"/>
        <v>186578.69881162985</v>
      </c>
      <c r="E358" s="13">
        <f t="shared" si="12"/>
        <v>191056.58758310898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75" customHeight="1" x14ac:dyDescent="0.2">
      <c r="A359" s="56"/>
      <c r="B359" s="24" t="s">
        <v>341</v>
      </c>
      <c r="C359" s="5"/>
      <c r="D359" s="5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75" customHeight="1" x14ac:dyDescent="0.2">
      <c r="A360" s="55">
        <v>900094</v>
      </c>
      <c r="B360" s="22" t="s">
        <v>342</v>
      </c>
      <c r="C360" s="13">
        <v>41616</v>
      </c>
      <c r="D360" s="13">
        <f t="shared" si="11"/>
        <v>42656.399999999994</v>
      </c>
      <c r="E360" s="13">
        <f t="shared" si="12"/>
        <v>43680.153599999998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75" customHeight="1" x14ac:dyDescent="0.2">
      <c r="A361" s="55">
        <v>900095</v>
      </c>
      <c r="B361" s="22" t="s">
        <v>343</v>
      </c>
      <c r="C361" s="13">
        <v>67626</v>
      </c>
      <c r="D361" s="13">
        <f t="shared" si="11"/>
        <v>69316.649999999994</v>
      </c>
      <c r="E361" s="13">
        <f t="shared" si="12"/>
        <v>70980.249599999996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75" customHeight="1" x14ac:dyDescent="0.2">
      <c r="A362" s="56"/>
      <c r="B362" s="24" t="s">
        <v>344</v>
      </c>
      <c r="C362" s="5"/>
      <c r="D362" s="5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75" customHeight="1" x14ac:dyDescent="0.2">
      <c r="A363" s="55">
        <v>220202</v>
      </c>
      <c r="B363" s="22" t="s">
        <v>345</v>
      </c>
      <c r="C363" s="13">
        <v>36405.599768122898</v>
      </c>
      <c r="D363" s="13">
        <f t="shared" si="11"/>
        <v>37315.739762325968</v>
      </c>
      <c r="E363" s="13">
        <f t="shared" si="12"/>
        <v>38211.317516621792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75" customHeight="1" x14ac:dyDescent="0.2">
      <c r="A364" s="55">
        <v>220110</v>
      </c>
      <c r="B364" s="22" t="s">
        <v>346</v>
      </c>
      <c r="C364" s="13">
        <v>34948.994956714872</v>
      </c>
      <c r="D364" s="13">
        <f t="shared" si="11"/>
        <v>35822.719830632741</v>
      </c>
      <c r="E364" s="13">
        <f t="shared" si="12"/>
        <v>36682.465106567928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75" customHeight="1" x14ac:dyDescent="0.2">
      <c r="A365" s="55">
        <v>622</v>
      </c>
      <c r="B365" s="22" t="s">
        <v>347</v>
      </c>
      <c r="C365" s="13">
        <v>91013.999420307257</v>
      </c>
      <c r="D365" s="13">
        <f t="shared" si="11"/>
        <v>93289.349405814923</v>
      </c>
      <c r="E365" s="13">
        <f t="shared" si="12"/>
        <v>95528.29379155449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75" customHeight="1" x14ac:dyDescent="0.2">
      <c r="A366" s="55">
        <v>225004</v>
      </c>
      <c r="B366" s="22" t="s">
        <v>348</v>
      </c>
      <c r="C366" s="13">
        <v>23663.63984927988</v>
      </c>
      <c r="D366" s="13">
        <f t="shared" si="11"/>
        <v>24255.230845511876</v>
      </c>
      <c r="E366" s="13">
        <f t="shared" si="12"/>
        <v>24837.356385804163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75" customHeight="1" x14ac:dyDescent="0.2">
      <c r="A367" s="55">
        <v>110311</v>
      </c>
      <c r="B367" s="22" t="s">
        <v>349</v>
      </c>
      <c r="C367" s="13">
        <v>27304.199826092165</v>
      </c>
      <c r="D367" s="13">
        <f t="shared" si="11"/>
        <v>27986.804821744467</v>
      </c>
      <c r="E367" s="13">
        <f t="shared" si="12"/>
        <v>28658.488137466335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75" customHeight="1" x14ac:dyDescent="0.2">
      <c r="A368" s="55">
        <v>901212</v>
      </c>
      <c r="B368" s="22" t="s">
        <v>350</v>
      </c>
      <c r="C368" s="13">
        <v>47327.27969855976</v>
      </c>
      <c r="D368" s="13">
        <f t="shared" si="11"/>
        <v>48510.461691023753</v>
      </c>
      <c r="E368" s="13">
        <f t="shared" si="12"/>
        <v>49674.712771608327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75" customHeight="1" x14ac:dyDescent="0.2">
      <c r="A369" s="55">
        <v>340604</v>
      </c>
      <c r="B369" s="22" t="s">
        <v>351</v>
      </c>
      <c r="C369" s="13">
        <v>58248.959628996621</v>
      </c>
      <c r="D369" s="13">
        <f t="shared" si="11"/>
        <v>59705.183619721531</v>
      </c>
      <c r="E369" s="13">
        <f t="shared" si="12"/>
        <v>61138.108026594848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75" customHeight="1" x14ac:dyDescent="0.2">
      <c r="A370" s="56"/>
      <c r="B370" s="24" t="s">
        <v>352</v>
      </c>
      <c r="C370" s="5"/>
      <c r="D370" s="5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75" customHeight="1" x14ac:dyDescent="0.2">
      <c r="A371" s="57"/>
      <c r="B371" s="41" t="s">
        <v>99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75" customHeight="1" x14ac:dyDescent="0.2">
      <c r="A372" s="56"/>
      <c r="B372" s="24" t="s">
        <v>353</v>
      </c>
      <c r="C372" s="5"/>
      <c r="D372" s="5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75" customHeight="1" x14ac:dyDescent="0.2">
      <c r="A373" s="55">
        <v>310122</v>
      </c>
      <c r="B373" s="22" t="s">
        <v>354</v>
      </c>
      <c r="C373" s="13">
        <v>27661.313069310738</v>
      </c>
      <c r="D373" s="13">
        <f t="shared" si="11"/>
        <v>28352.845896043505</v>
      </c>
      <c r="E373" s="13">
        <f t="shared" si="12"/>
        <v>29033.314197548549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75" customHeight="1" x14ac:dyDescent="0.2">
      <c r="A374" s="55">
        <v>903134</v>
      </c>
      <c r="B374" s="22" t="s">
        <v>355</v>
      </c>
      <c r="C374" s="13">
        <v>27661.313069310738</v>
      </c>
      <c r="D374" s="13">
        <f t="shared" si="11"/>
        <v>28352.845896043505</v>
      </c>
      <c r="E374" s="13">
        <f t="shared" si="12"/>
        <v>29033.314197548549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75" customHeight="1" x14ac:dyDescent="0.2">
      <c r="A375" s="55">
        <v>903101</v>
      </c>
      <c r="B375" s="22" t="s">
        <v>356</v>
      </c>
      <c r="C375" s="13">
        <v>121709.77750496716</v>
      </c>
      <c r="D375" s="13">
        <f t="shared" si="11"/>
        <v>124752.52194259132</v>
      </c>
      <c r="E375" s="13">
        <f t="shared" si="12"/>
        <v>127746.58246921352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75" customHeight="1" x14ac:dyDescent="0.2">
      <c r="A376" s="55">
        <v>903133</v>
      </c>
      <c r="B376" s="22" t="s">
        <v>357</v>
      </c>
      <c r="C376" s="13">
        <v>121709.77750496716</v>
      </c>
      <c r="D376" s="13">
        <f t="shared" si="11"/>
        <v>124752.52194259132</v>
      </c>
      <c r="E376" s="13">
        <f t="shared" si="12"/>
        <v>127746.58246921352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75" customHeight="1" x14ac:dyDescent="0.2">
      <c r="A377" s="56"/>
      <c r="B377" s="24" t="s">
        <v>358</v>
      </c>
      <c r="C377" s="5"/>
      <c r="D377" s="5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75" customHeight="1" x14ac:dyDescent="0.2">
      <c r="A378" s="55">
        <v>290102</v>
      </c>
      <c r="B378" s="22" t="s">
        <v>359</v>
      </c>
      <c r="C378" s="13">
        <v>45506.999710153628</v>
      </c>
      <c r="D378" s="13">
        <f t="shared" si="11"/>
        <v>46644.674702907461</v>
      </c>
      <c r="E378" s="13">
        <f t="shared" si="12"/>
        <v>47764.146895777245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75" customHeight="1" x14ac:dyDescent="0.2">
      <c r="A379" s="55">
        <v>290106</v>
      </c>
      <c r="B379" s="22" t="s">
        <v>360</v>
      </c>
      <c r="C379" s="13">
        <v>45506.999710153628</v>
      </c>
      <c r="D379" s="13">
        <f t="shared" si="11"/>
        <v>46644.674702907461</v>
      </c>
      <c r="E379" s="13">
        <f t="shared" si="12"/>
        <v>47764.146895777245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75" customHeight="1" x14ac:dyDescent="0.2">
      <c r="A380" s="55">
        <v>420123</v>
      </c>
      <c r="B380" s="22" t="s">
        <v>361</v>
      </c>
      <c r="C380" s="13">
        <v>26394.059831889099</v>
      </c>
      <c r="D380" s="13">
        <f t="shared" si="11"/>
        <v>27053.911327686325</v>
      </c>
      <c r="E380" s="13">
        <f t="shared" si="12"/>
        <v>27703.205199550797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2.75" customHeight="1" x14ac:dyDescent="0.2">
      <c r="A381" s="55">
        <v>900117</v>
      </c>
      <c r="B381" s="22" t="s">
        <v>362</v>
      </c>
      <c r="C381" s="13">
        <v>29124.479814498311</v>
      </c>
      <c r="D381" s="13">
        <f t="shared" si="11"/>
        <v>29852.591809860765</v>
      </c>
      <c r="E381" s="13">
        <f t="shared" si="12"/>
        <v>30569.054013297424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2.75" customHeight="1" x14ac:dyDescent="0.2">
      <c r="A382" s="55">
        <v>900115</v>
      </c>
      <c r="B382" s="22" t="s">
        <v>363</v>
      </c>
      <c r="C382" s="13">
        <v>29124.479814498311</v>
      </c>
      <c r="D382" s="13">
        <f t="shared" si="11"/>
        <v>29852.591809860765</v>
      </c>
      <c r="E382" s="13">
        <f t="shared" si="12"/>
        <v>30569.054013297424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2.75" customHeight="1" x14ac:dyDescent="0.2">
      <c r="A383" s="55">
        <v>900118</v>
      </c>
      <c r="B383" s="22" t="s">
        <v>364</v>
      </c>
      <c r="C383" s="13">
        <v>29124.479814498311</v>
      </c>
      <c r="D383" s="13">
        <f t="shared" si="11"/>
        <v>29852.591809860765</v>
      </c>
      <c r="E383" s="13">
        <f t="shared" si="12"/>
        <v>30569.054013297424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2.75" customHeight="1" x14ac:dyDescent="0.2">
      <c r="A384" s="56"/>
      <c r="B384" s="24" t="s">
        <v>365</v>
      </c>
      <c r="C384" s="5"/>
      <c r="D384" s="5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2.75" customHeight="1" x14ac:dyDescent="0.2">
      <c r="A385" s="55">
        <v>130104</v>
      </c>
      <c r="B385" s="22" t="s">
        <v>366</v>
      </c>
      <c r="C385" s="13">
        <v>36414</v>
      </c>
      <c r="D385" s="13">
        <f t="shared" si="11"/>
        <v>37324.35</v>
      </c>
      <c r="E385" s="13">
        <f t="shared" si="12"/>
        <v>38220.134400000003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2.75" customHeight="1" x14ac:dyDescent="0.2">
      <c r="A386" s="55">
        <v>130114</v>
      </c>
      <c r="B386" s="22" t="s">
        <v>367</v>
      </c>
      <c r="C386" s="13">
        <v>36414</v>
      </c>
      <c r="D386" s="13">
        <f t="shared" si="11"/>
        <v>37324.35</v>
      </c>
      <c r="E386" s="13">
        <f t="shared" si="12"/>
        <v>38220.134400000003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2.75" customHeight="1" x14ac:dyDescent="0.2">
      <c r="A387" s="55">
        <v>130106</v>
      </c>
      <c r="B387" s="22" t="s">
        <v>368</v>
      </c>
      <c r="C387" s="13">
        <v>36414</v>
      </c>
      <c r="D387" s="13">
        <f t="shared" si="11"/>
        <v>37324.35</v>
      </c>
      <c r="E387" s="13">
        <f t="shared" si="12"/>
        <v>38220.134400000003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2.75" customHeight="1" x14ac:dyDescent="0.2">
      <c r="A388" s="55">
        <v>130107</v>
      </c>
      <c r="B388" s="22" t="s">
        <v>369</v>
      </c>
      <c r="C388" s="13">
        <v>36414</v>
      </c>
      <c r="D388" s="13">
        <f t="shared" si="11"/>
        <v>37324.35</v>
      </c>
      <c r="E388" s="13">
        <f t="shared" si="12"/>
        <v>38220.134400000003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2.75" customHeight="1" x14ac:dyDescent="0.2">
      <c r="A389" s="55">
        <v>130108</v>
      </c>
      <c r="B389" s="22" t="s">
        <v>370</v>
      </c>
      <c r="C389" s="13">
        <v>36414</v>
      </c>
      <c r="D389" s="13">
        <f t="shared" si="11"/>
        <v>37324.35</v>
      </c>
      <c r="E389" s="13">
        <f t="shared" si="12"/>
        <v>38220.134400000003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2.75" customHeight="1" x14ac:dyDescent="0.2">
      <c r="A390" s="56"/>
      <c r="B390" s="24" t="s">
        <v>199</v>
      </c>
      <c r="C390" s="5"/>
      <c r="D390" s="5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2.75" customHeight="1" x14ac:dyDescent="0.2">
      <c r="A391" s="55">
        <v>280112</v>
      </c>
      <c r="B391" s="22" t="s">
        <v>371</v>
      </c>
      <c r="C391" s="13">
        <v>27661.313069310738</v>
      </c>
      <c r="D391" s="13">
        <f t="shared" si="11"/>
        <v>28352.845896043505</v>
      </c>
      <c r="E391" s="13">
        <f t="shared" si="12"/>
        <v>29033.314197548549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2.75" customHeight="1" x14ac:dyDescent="0.2">
      <c r="A392" s="55">
        <v>280120</v>
      </c>
      <c r="B392" s="22" t="s">
        <v>372</v>
      </c>
      <c r="C392" s="13">
        <v>50967.839675372066</v>
      </c>
      <c r="D392" s="13">
        <f t="shared" si="11"/>
        <v>52242.035667256365</v>
      </c>
      <c r="E392" s="13">
        <f t="shared" si="12"/>
        <v>53495.84452327052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2.75" customHeight="1" x14ac:dyDescent="0.2">
      <c r="A393" s="55">
        <v>280106</v>
      </c>
      <c r="B393" s="22" t="s">
        <v>200</v>
      </c>
      <c r="C393" s="13">
        <v>327650.39791310608</v>
      </c>
      <c r="D393" s="13">
        <f t="shared" si="11"/>
        <v>335841.65786093369</v>
      </c>
      <c r="E393" s="13">
        <f t="shared" si="12"/>
        <v>343901.85764959612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2.75" customHeight="1" x14ac:dyDescent="0.2">
      <c r="A394" s="56"/>
      <c r="B394" s="24" t="s">
        <v>373</v>
      </c>
      <c r="C394" s="5"/>
      <c r="D394" s="5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2.75" customHeight="1" x14ac:dyDescent="0.2">
      <c r="A395" s="55">
        <v>900218</v>
      </c>
      <c r="B395" s="22" t="s">
        <v>374</v>
      </c>
      <c r="C395" s="13">
        <v>9363.6</v>
      </c>
      <c r="D395" s="13">
        <f t="shared" si="11"/>
        <v>9597.6899999999987</v>
      </c>
      <c r="E395" s="13">
        <f t="shared" si="12"/>
        <v>9828.0345599999982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2.75" customHeight="1" x14ac:dyDescent="0.2">
      <c r="A396" s="11">
        <v>900215</v>
      </c>
      <c r="B396" s="22" t="s">
        <v>375</v>
      </c>
      <c r="C396" s="13">
        <v>9363.6</v>
      </c>
      <c r="D396" s="13">
        <f t="shared" si="11"/>
        <v>9597.6899999999987</v>
      </c>
      <c r="E396" s="13">
        <f t="shared" si="12"/>
        <v>9828.0345599999982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2.75" customHeight="1" x14ac:dyDescent="0.2">
      <c r="A397" s="11">
        <v>900216</v>
      </c>
      <c r="B397" s="22" t="s">
        <v>376</v>
      </c>
      <c r="C397" s="13">
        <v>9363.6</v>
      </c>
      <c r="D397" s="13">
        <f t="shared" si="11"/>
        <v>9597.6899999999987</v>
      </c>
      <c r="E397" s="13">
        <f t="shared" si="12"/>
        <v>9828.0345599999982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2.75" customHeight="1" x14ac:dyDescent="0.2">
      <c r="A398" s="11">
        <v>900398</v>
      </c>
      <c r="B398" s="22" t="s">
        <v>377</v>
      </c>
      <c r="C398" s="13">
        <v>20808</v>
      </c>
      <c r="D398" s="13">
        <f t="shared" si="11"/>
        <v>21328.199999999997</v>
      </c>
      <c r="E398" s="13">
        <f t="shared" si="12"/>
        <v>21840.076799999999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2.75" customHeight="1" x14ac:dyDescent="0.2">
      <c r="A399" s="14"/>
      <c r="B399" s="24" t="s">
        <v>378</v>
      </c>
      <c r="C399" s="5"/>
      <c r="D399" s="5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2.75" customHeight="1" x14ac:dyDescent="0.2">
      <c r="A400" s="11" t="s">
        <v>163</v>
      </c>
      <c r="B400" s="22" t="s">
        <v>379</v>
      </c>
      <c r="C400" s="13">
        <v>131020.30402463708</v>
      </c>
      <c r="D400" s="13">
        <f t="shared" si="11"/>
        <v>134295.811625253</v>
      </c>
      <c r="E400" s="13">
        <f t="shared" ref="E400:E461" si="13">IFERROR(D400*(1+$E$12),D400)</f>
        <v>137518.91110425908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2.75" customHeight="1" x14ac:dyDescent="0.2">
      <c r="A401" s="11" t="s">
        <v>163</v>
      </c>
      <c r="B401" s="22" t="s">
        <v>165</v>
      </c>
      <c r="C401" s="13">
        <v>131020.30402463708</v>
      </c>
      <c r="D401" s="13">
        <f t="shared" si="11"/>
        <v>134295.811625253</v>
      </c>
      <c r="E401" s="13">
        <f t="shared" si="13"/>
        <v>137518.91110425908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2.75" customHeight="1" x14ac:dyDescent="0.2">
      <c r="A402" s="11">
        <v>260526</v>
      </c>
      <c r="B402" s="22" t="s">
        <v>166</v>
      </c>
      <c r="C402" s="13">
        <v>121875.26266989736</v>
      </c>
      <c r="D402" s="13">
        <f t="shared" si="11"/>
        <v>124922.14423664479</v>
      </c>
      <c r="E402" s="13">
        <f t="shared" si="13"/>
        <v>127920.27569832427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2.75" customHeight="1" x14ac:dyDescent="0.2">
      <c r="A403" s="11">
        <v>900524</v>
      </c>
      <c r="B403" s="22" t="s">
        <v>167</v>
      </c>
      <c r="C403" s="13">
        <v>138934.282120085</v>
      </c>
      <c r="D403" s="13">
        <f t="shared" ref="D403:D461" si="14">IFERROR(C403*(1+$D$12),C403)</f>
        <v>142407.63917308711</v>
      </c>
      <c r="E403" s="13">
        <f t="shared" si="13"/>
        <v>145825.42251324121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2.75" customHeight="1" x14ac:dyDescent="0.2">
      <c r="A404" s="11">
        <v>900525</v>
      </c>
      <c r="B404" s="22" t="s">
        <v>168</v>
      </c>
      <c r="C404" s="13">
        <v>138934.282120085</v>
      </c>
      <c r="D404" s="13">
        <f t="shared" si="14"/>
        <v>142407.63917308711</v>
      </c>
      <c r="E404" s="13">
        <f t="shared" si="13"/>
        <v>145825.42251324121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2.75" customHeight="1" x14ac:dyDescent="0.2">
      <c r="A405" s="11">
        <v>260528</v>
      </c>
      <c r="B405" s="22" t="s">
        <v>169</v>
      </c>
      <c r="C405" s="13">
        <v>125920.18480757069</v>
      </c>
      <c r="D405" s="13">
        <f t="shared" si="14"/>
        <v>129068.18942775995</v>
      </c>
      <c r="E405" s="13">
        <f t="shared" si="13"/>
        <v>132165.8259740262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2.75" customHeight="1" x14ac:dyDescent="0.2">
      <c r="A406" s="11">
        <v>900531</v>
      </c>
      <c r="B406" s="22" t="s">
        <v>170</v>
      </c>
      <c r="C406" s="13">
        <v>138934.282120085</v>
      </c>
      <c r="D406" s="13">
        <f t="shared" si="14"/>
        <v>142407.63917308711</v>
      </c>
      <c r="E406" s="13">
        <f t="shared" si="13"/>
        <v>145825.42251324121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2.75" customHeight="1" x14ac:dyDescent="0.2">
      <c r="A407" s="11">
        <v>260524</v>
      </c>
      <c r="B407" s="22" t="s">
        <v>171</v>
      </c>
      <c r="C407" s="13">
        <v>131020.30402463708</v>
      </c>
      <c r="D407" s="13">
        <f t="shared" si="14"/>
        <v>134295.811625253</v>
      </c>
      <c r="E407" s="13">
        <f t="shared" si="13"/>
        <v>137518.91110425908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2.75" customHeight="1" x14ac:dyDescent="0.2">
      <c r="A408" s="11">
        <v>260525</v>
      </c>
      <c r="B408" s="22" t="s">
        <v>172</v>
      </c>
      <c r="C408" s="13">
        <v>131020.30402463708</v>
      </c>
      <c r="D408" s="13">
        <f t="shared" si="14"/>
        <v>134295.811625253</v>
      </c>
      <c r="E408" s="13">
        <f t="shared" si="13"/>
        <v>137518.91110425908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2.75" customHeight="1" x14ac:dyDescent="0.2">
      <c r="A409" s="11">
        <v>260515</v>
      </c>
      <c r="B409" s="22" t="s">
        <v>173</v>
      </c>
      <c r="C409" s="13">
        <v>121347.66413020081</v>
      </c>
      <c r="D409" s="13">
        <f t="shared" si="14"/>
        <v>124381.35573345581</v>
      </c>
      <c r="E409" s="13">
        <f t="shared" si="13"/>
        <v>127366.50827105876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2.75" customHeight="1" x14ac:dyDescent="0.2">
      <c r="A410" s="11">
        <v>260531</v>
      </c>
      <c r="B410" s="22" t="s">
        <v>174</v>
      </c>
      <c r="C410" s="13">
        <v>131020.30402463708</v>
      </c>
      <c r="D410" s="13">
        <f t="shared" si="14"/>
        <v>134295.811625253</v>
      </c>
      <c r="E410" s="13">
        <f t="shared" si="13"/>
        <v>137518.91110425908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2.75" customHeight="1" x14ac:dyDescent="0.2">
      <c r="A411" s="11">
        <v>260539</v>
      </c>
      <c r="B411" s="22" t="s">
        <v>175</v>
      </c>
      <c r="C411" s="13">
        <v>121347.66413020081</v>
      </c>
      <c r="D411" s="13">
        <f t="shared" si="14"/>
        <v>124381.35573345581</v>
      </c>
      <c r="E411" s="13">
        <f t="shared" si="13"/>
        <v>127366.50827105876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2.75" customHeight="1" x14ac:dyDescent="0.2">
      <c r="A412" s="11">
        <v>900500</v>
      </c>
      <c r="B412" s="22" t="s">
        <v>176</v>
      </c>
      <c r="C412" s="13">
        <v>131020.30402463708</v>
      </c>
      <c r="D412" s="13">
        <f t="shared" si="14"/>
        <v>134295.811625253</v>
      </c>
      <c r="E412" s="13">
        <f t="shared" si="13"/>
        <v>137518.91110425908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2.75" customHeight="1" x14ac:dyDescent="0.2">
      <c r="A413" s="11">
        <v>900534</v>
      </c>
      <c r="B413" s="22" t="s">
        <v>177</v>
      </c>
      <c r="C413" s="13">
        <v>138054.9512205908</v>
      </c>
      <c r="D413" s="13">
        <f t="shared" si="14"/>
        <v>141506.32500110555</v>
      </c>
      <c r="E413" s="13">
        <f t="shared" si="13"/>
        <v>144902.47680113208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2.75" customHeight="1" x14ac:dyDescent="0.2">
      <c r="A414" s="11">
        <v>260534</v>
      </c>
      <c r="B414" s="22" t="s">
        <v>178</v>
      </c>
      <c r="C414" s="13">
        <v>131020.30402463708</v>
      </c>
      <c r="D414" s="13">
        <f t="shared" si="14"/>
        <v>134295.811625253</v>
      </c>
      <c r="E414" s="13">
        <f t="shared" si="13"/>
        <v>137518.91110425908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2.75" customHeight="1" x14ac:dyDescent="0.2">
      <c r="A415" s="11">
        <v>260101</v>
      </c>
      <c r="B415" s="22" t="s">
        <v>179</v>
      </c>
      <c r="C415" s="13">
        <v>101562.71889158111</v>
      </c>
      <c r="D415" s="13">
        <f t="shared" si="14"/>
        <v>104101.78686387063</v>
      </c>
      <c r="E415" s="13">
        <f t="shared" si="13"/>
        <v>106600.22974860352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2.75" customHeight="1" x14ac:dyDescent="0.2">
      <c r="A416" s="11">
        <v>260108</v>
      </c>
      <c r="B416" s="22" t="s">
        <v>180</v>
      </c>
      <c r="C416" s="13">
        <v>138054.9512205908</v>
      </c>
      <c r="D416" s="13">
        <f t="shared" si="14"/>
        <v>141506.32500110555</v>
      </c>
      <c r="E416" s="13">
        <f t="shared" si="13"/>
        <v>144902.47680113208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2.75" customHeight="1" x14ac:dyDescent="0.2">
      <c r="A417" s="11">
        <v>900544</v>
      </c>
      <c r="B417" s="22" t="s">
        <v>181</v>
      </c>
      <c r="C417" s="13">
        <v>129965.10694524404</v>
      </c>
      <c r="D417" s="13">
        <f t="shared" si="14"/>
        <v>133214.23461887514</v>
      </c>
      <c r="E417" s="13">
        <f t="shared" si="13"/>
        <v>136411.37624972814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2.75" customHeight="1" x14ac:dyDescent="0.2">
      <c r="A418" s="11" t="s">
        <v>182</v>
      </c>
      <c r="B418" s="22" t="s">
        <v>183</v>
      </c>
      <c r="C418" s="13">
        <v>131020.30402463708</v>
      </c>
      <c r="D418" s="13">
        <f t="shared" si="14"/>
        <v>134295.811625253</v>
      </c>
      <c r="E418" s="13">
        <f t="shared" si="13"/>
        <v>137518.91110425908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2.75" customHeight="1" x14ac:dyDescent="0.2">
      <c r="A419" s="11">
        <v>260529</v>
      </c>
      <c r="B419" s="22" t="s">
        <v>184</v>
      </c>
      <c r="C419" s="13">
        <v>131020.30402463708</v>
      </c>
      <c r="D419" s="13">
        <f t="shared" si="14"/>
        <v>134295.811625253</v>
      </c>
      <c r="E419" s="13">
        <f t="shared" si="13"/>
        <v>137518.91110425908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2.75" customHeight="1" x14ac:dyDescent="0.2">
      <c r="A420" s="11">
        <v>900145</v>
      </c>
      <c r="B420" s="22" t="s">
        <v>185</v>
      </c>
      <c r="C420" s="13">
        <v>125920.18480757069</v>
      </c>
      <c r="D420" s="13">
        <f t="shared" si="14"/>
        <v>129068.18942775995</v>
      </c>
      <c r="E420" s="13">
        <f t="shared" si="13"/>
        <v>132165.8259740262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2.75" customHeight="1" x14ac:dyDescent="0.2">
      <c r="A421" s="11">
        <v>900558</v>
      </c>
      <c r="B421" s="22" t="s">
        <v>186</v>
      </c>
      <c r="C421" s="13">
        <v>121875.26266989736</v>
      </c>
      <c r="D421" s="13">
        <f t="shared" si="14"/>
        <v>124922.14423664479</v>
      </c>
      <c r="E421" s="13">
        <f t="shared" si="13"/>
        <v>127920.27569832427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2.75" customHeight="1" x14ac:dyDescent="0.2">
      <c r="A422" s="11">
        <v>260505</v>
      </c>
      <c r="B422" s="22" t="s">
        <v>187</v>
      </c>
      <c r="C422" s="13">
        <v>142187.80644821355</v>
      </c>
      <c r="D422" s="13">
        <f t="shared" si="14"/>
        <v>145742.50160941889</v>
      </c>
      <c r="E422" s="13">
        <f t="shared" si="13"/>
        <v>149240.32164804495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2.75" customHeight="1" x14ac:dyDescent="0.2">
      <c r="A423" s="11">
        <v>900560</v>
      </c>
      <c r="B423" s="22" t="s">
        <v>188</v>
      </c>
      <c r="C423" s="13">
        <v>131020.30402463708</v>
      </c>
      <c r="D423" s="13">
        <f t="shared" si="14"/>
        <v>134295.811625253</v>
      </c>
      <c r="E423" s="13">
        <f t="shared" si="13"/>
        <v>137518.91110425908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2.75" customHeight="1" x14ac:dyDescent="0.2">
      <c r="A424" s="11">
        <v>900561</v>
      </c>
      <c r="B424" s="22" t="s">
        <v>189</v>
      </c>
      <c r="C424" s="13">
        <v>142187.80644821355</v>
      </c>
      <c r="D424" s="13">
        <f t="shared" si="14"/>
        <v>145742.50160941889</v>
      </c>
      <c r="E424" s="13">
        <f t="shared" si="13"/>
        <v>149240.32164804495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2.75" customHeight="1" x14ac:dyDescent="0.2">
      <c r="A425" s="11">
        <v>900562</v>
      </c>
      <c r="B425" s="22" t="s">
        <v>190</v>
      </c>
      <c r="C425" s="13">
        <v>138054.9512205908</v>
      </c>
      <c r="D425" s="13">
        <f t="shared" si="14"/>
        <v>141506.32500110555</v>
      </c>
      <c r="E425" s="13">
        <f t="shared" si="13"/>
        <v>144902.47680113208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2.75" customHeight="1" x14ac:dyDescent="0.2">
      <c r="A426" s="11">
        <v>900563</v>
      </c>
      <c r="B426" s="22" t="s">
        <v>191</v>
      </c>
      <c r="C426" s="13">
        <v>131020.30402463708</v>
      </c>
      <c r="D426" s="13">
        <f t="shared" si="14"/>
        <v>134295.811625253</v>
      </c>
      <c r="E426" s="13">
        <f t="shared" si="13"/>
        <v>137518.91110425908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2.75" customHeight="1" x14ac:dyDescent="0.2">
      <c r="A427" s="11">
        <v>908600</v>
      </c>
      <c r="B427" s="22" t="s">
        <v>192</v>
      </c>
      <c r="C427" s="13">
        <v>121875.26266989736</v>
      </c>
      <c r="D427" s="13">
        <f t="shared" si="14"/>
        <v>124922.14423664479</v>
      </c>
      <c r="E427" s="13">
        <f t="shared" si="13"/>
        <v>127920.27569832427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2.75" customHeight="1" x14ac:dyDescent="0.2">
      <c r="A428" s="11"/>
      <c r="B428" s="22" t="s">
        <v>193</v>
      </c>
      <c r="C428" s="58" t="s">
        <v>380</v>
      </c>
      <c r="D428" s="58" t="str">
        <f t="shared" si="14"/>
        <v>Adecrra / Cedim 100%</v>
      </c>
      <c r="E428" s="58" t="str">
        <f t="shared" si="13"/>
        <v>Adecrra / Cedim 100%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2.75" customHeight="1" x14ac:dyDescent="0.2">
      <c r="A429" s="14"/>
      <c r="B429" s="24" t="s">
        <v>197</v>
      </c>
      <c r="C429" s="5"/>
      <c r="D429" s="5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2.75" customHeight="1" x14ac:dyDescent="0.2">
      <c r="A430" s="11">
        <v>360102</v>
      </c>
      <c r="B430" s="22" t="s">
        <v>198</v>
      </c>
      <c r="C430" s="13">
        <v>327650.39791310608</v>
      </c>
      <c r="D430" s="13">
        <f t="shared" si="14"/>
        <v>335841.65786093369</v>
      </c>
      <c r="E430" s="13">
        <f t="shared" si="13"/>
        <v>343901.85764959612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2.75" customHeight="1" x14ac:dyDescent="0.2">
      <c r="A431" s="11">
        <v>900014</v>
      </c>
      <c r="B431" s="22" t="s">
        <v>381</v>
      </c>
      <c r="C431" s="13">
        <v>91013.999420307257</v>
      </c>
      <c r="D431" s="13">
        <f t="shared" si="14"/>
        <v>93289.349405814923</v>
      </c>
      <c r="E431" s="13">
        <f t="shared" si="13"/>
        <v>95528.29379155449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2.75" customHeight="1" x14ac:dyDescent="0.2">
      <c r="A432" s="11">
        <v>365001</v>
      </c>
      <c r="B432" s="22" t="s">
        <v>382</v>
      </c>
      <c r="C432" s="13">
        <v>63709.79959421511</v>
      </c>
      <c r="D432" s="13">
        <f t="shared" si="14"/>
        <v>65302.544584070485</v>
      </c>
      <c r="E432" s="13">
        <f t="shared" si="13"/>
        <v>66869.805654088181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2.75" customHeight="1" x14ac:dyDescent="0.2">
      <c r="A433" s="14"/>
      <c r="B433" s="24" t="s">
        <v>201</v>
      </c>
      <c r="C433" s="5"/>
      <c r="D433" s="5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2.75" customHeight="1" x14ac:dyDescent="0.2">
      <c r="A434" s="11">
        <v>149</v>
      </c>
      <c r="B434" s="22" t="s">
        <v>383</v>
      </c>
      <c r="C434" s="13">
        <v>266407.45471964381</v>
      </c>
      <c r="D434" s="13">
        <f t="shared" si="14"/>
        <v>273067.6410876349</v>
      </c>
      <c r="E434" s="13">
        <f t="shared" si="13"/>
        <v>279621.26447373815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2.75" customHeight="1" x14ac:dyDescent="0.2">
      <c r="A435" s="11">
        <v>153</v>
      </c>
      <c r="B435" s="22" t="s">
        <v>384</v>
      </c>
      <c r="C435" s="13">
        <v>333009.31839955476</v>
      </c>
      <c r="D435" s="13">
        <f t="shared" si="14"/>
        <v>341334.55135954358</v>
      </c>
      <c r="E435" s="13">
        <f t="shared" si="13"/>
        <v>349526.58059217263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2.75" customHeight="1" x14ac:dyDescent="0.2">
      <c r="A436" s="11">
        <v>152</v>
      </c>
      <c r="B436" s="22" t="s">
        <v>385</v>
      </c>
      <c r="C436" s="13">
        <v>333009.31839955476</v>
      </c>
      <c r="D436" s="13">
        <f t="shared" si="14"/>
        <v>341334.55135954358</v>
      </c>
      <c r="E436" s="13">
        <f t="shared" si="13"/>
        <v>349526.58059217263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2.75" customHeight="1" x14ac:dyDescent="0.2">
      <c r="A437" s="11">
        <v>155</v>
      </c>
      <c r="B437" s="22" t="s">
        <v>386</v>
      </c>
      <c r="C437" s="13">
        <v>399611.18207946571</v>
      </c>
      <c r="D437" s="13">
        <f t="shared" si="14"/>
        <v>409601.46163145232</v>
      </c>
      <c r="E437" s="13">
        <f t="shared" si="13"/>
        <v>419431.89671060717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2.75" customHeight="1" x14ac:dyDescent="0.2">
      <c r="A438" s="11">
        <v>3650</v>
      </c>
      <c r="B438" s="22" t="s">
        <v>206</v>
      </c>
      <c r="C438" s="13">
        <v>333009.31839955476</v>
      </c>
      <c r="D438" s="13">
        <f t="shared" si="14"/>
        <v>341334.55135954358</v>
      </c>
      <c r="E438" s="13">
        <f t="shared" si="13"/>
        <v>349526.58059217263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2.75" customHeight="1" x14ac:dyDescent="0.2">
      <c r="A439" s="11">
        <v>906</v>
      </c>
      <c r="B439" s="22" t="s">
        <v>207</v>
      </c>
      <c r="C439" s="13">
        <v>345853.19779716735</v>
      </c>
      <c r="D439" s="13">
        <f t="shared" si="14"/>
        <v>354499.52774209651</v>
      </c>
      <c r="E439" s="13">
        <f t="shared" si="13"/>
        <v>363007.51640790683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2.75" customHeight="1" x14ac:dyDescent="0.2">
      <c r="A440" s="11">
        <v>900655</v>
      </c>
      <c r="B440" s="22" t="s">
        <v>208</v>
      </c>
      <c r="C440" s="13">
        <v>345853.19779716735</v>
      </c>
      <c r="D440" s="13">
        <f t="shared" si="14"/>
        <v>354499.52774209651</v>
      </c>
      <c r="E440" s="13">
        <f t="shared" si="13"/>
        <v>363007.51640790683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2.75" customHeight="1" x14ac:dyDescent="0.2">
      <c r="A441" s="11">
        <v>715</v>
      </c>
      <c r="B441" s="22" t="s">
        <v>209</v>
      </c>
      <c r="C441" s="13">
        <v>345853.19779716735</v>
      </c>
      <c r="D441" s="13">
        <f t="shared" si="14"/>
        <v>354499.52774209651</v>
      </c>
      <c r="E441" s="13">
        <f t="shared" si="13"/>
        <v>363007.51640790683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2.75" customHeight="1" x14ac:dyDescent="0.2">
      <c r="A442" s="11">
        <v>613</v>
      </c>
      <c r="B442" s="22" t="s">
        <v>210</v>
      </c>
      <c r="C442" s="13">
        <v>345853.19779716735</v>
      </c>
      <c r="D442" s="13">
        <f t="shared" si="14"/>
        <v>354499.52774209651</v>
      </c>
      <c r="E442" s="13">
        <f t="shared" si="13"/>
        <v>363007.51640790683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2.75" customHeight="1" x14ac:dyDescent="0.2">
      <c r="A443" s="11">
        <v>614</v>
      </c>
      <c r="B443" s="22" t="s">
        <v>211</v>
      </c>
      <c r="C443" s="13">
        <v>345853.19779716735</v>
      </c>
      <c r="D443" s="13">
        <f t="shared" si="14"/>
        <v>354499.52774209651</v>
      </c>
      <c r="E443" s="13">
        <f t="shared" si="13"/>
        <v>363007.51640790683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2.75" customHeight="1" x14ac:dyDescent="0.2">
      <c r="A444" s="11">
        <v>615</v>
      </c>
      <c r="B444" s="22" t="s">
        <v>212</v>
      </c>
      <c r="C444" s="13">
        <v>345853.19779716735</v>
      </c>
      <c r="D444" s="13">
        <f t="shared" si="14"/>
        <v>354499.52774209651</v>
      </c>
      <c r="E444" s="13">
        <f t="shared" si="13"/>
        <v>363007.51640790683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2.75" customHeight="1" x14ac:dyDescent="0.2">
      <c r="A445" s="11">
        <v>7203</v>
      </c>
      <c r="B445" s="22" t="s">
        <v>213</v>
      </c>
      <c r="C445" s="13">
        <v>473272.7969855977</v>
      </c>
      <c r="D445" s="13">
        <f t="shared" si="14"/>
        <v>485104.61691023759</v>
      </c>
      <c r="E445" s="13">
        <f t="shared" si="13"/>
        <v>496747.12771608331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2.75" customHeight="1" x14ac:dyDescent="0.2">
      <c r="A446" s="14"/>
      <c r="B446" s="25" t="s">
        <v>214</v>
      </c>
      <c r="C446" s="5"/>
      <c r="D446" s="5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2.75" customHeight="1" x14ac:dyDescent="0.2">
      <c r="A447" s="11">
        <v>900023</v>
      </c>
      <c r="B447" s="22" t="s">
        <v>216</v>
      </c>
      <c r="C447" s="13">
        <v>38225.879756529037</v>
      </c>
      <c r="D447" s="13">
        <f t="shared" si="14"/>
        <v>39181.526750442259</v>
      </c>
      <c r="E447" s="13">
        <f t="shared" si="13"/>
        <v>40121.883392452874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2.75" customHeight="1" x14ac:dyDescent="0.2">
      <c r="A448" s="11">
        <v>668</v>
      </c>
      <c r="B448" s="22" t="s">
        <v>217</v>
      </c>
      <c r="C448" s="13">
        <v>38225.879756529037</v>
      </c>
      <c r="D448" s="13">
        <f t="shared" si="14"/>
        <v>39181.526750442259</v>
      </c>
      <c r="E448" s="13">
        <f t="shared" si="13"/>
        <v>40121.883392452874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2.75" customHeight="1" x14ac:dyDescent="0.2">
      <c r="A449" s="11">
        <v>900022</v>
      </c>
      <c r="B449" s="22" t="s">
        <v>218</v>
      </c>
      <c r="C449" s="13">
        <v>38225.879756529037</v>
      </c>
      <c r="D449" s="13">
        <f t="shared" si="14"/>
        <v>39181.526750442259</v>
      </c>
      <c r="E449" s="13">
        <f t="shared" si="13"/>
        <v>40121.883392452874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2.75" customHeight="1" x14ac:dyDescent="0.2">
      <c r="A450" s="11">
        <v>901802</v>
      </c>
      <c r="B450" s="22" t="s">
        <v>219</v>
      </c>
      <c r="C450" s="13">
        <v>38225.879756529037</v>
      </c>
      <c r="D450" s="13">
        <f t="shared" si="14"/>
        <v>39181.526750442259</v>
      </c>
      <c r="E450" s="13">
        <f t="shared" si="13"/>
        <v>40121.883392452874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2.75" customHeight="1" x14ac:dyDescent="0.2">
      <c r="A451" s="11">
        <v>37</v>
      </c>
      <c r="B451" s="22" t="s">
        <v>220</v>
      </c>
      <c r="C451" s="13">
        <v>273041.99826092174</v>
      </c>
      <c r="D451" s="13">
        <f t="shared" si="14"/>
        <v>279868.04821744474</v>
      </c>
      <c r="E451" s="13">
        <f t="shared" si="13"/>
        <v>286584.88137466344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2.75" customHeight="1" x14ac:dyDescent="0.2">
      <c r="A452" s="11">
        <v>900643</v>
      </c>
      <c r="B452" s="22" t="s">
        <v>221</v>
      </c>
      <c r="C452" s="13">
        <v>185080.82119232835</v>
      </c>
      <c r="D452" s="13">
        <f t="shared" si="14"/>
        <v>189707.84172213654</v>
      </c>
      <c r="E452" s="13">
        <f t="shared" si="13"/>
        <v>194260.82992346783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2.75" customHeight="1" x14ac:dyDescent="0.2">
      <c r="A453" s="14"/>
      <c r="B453" s="25" t="s">
        <v>222</v>
      </c>
      <c r="C453" s="5"/>
      <c r="D453" s="5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2.75" customHeight="1" x14ac:dyDescent="0.2">
      <c r="A454" s="11">
        <v>900343</v>
      </c>
      <c r="B454" s="22" t="s">
        <v>223</v>
      </c>
      <c r="C454" s="13">
        <v>90867.386887458691</v>
      </c>
      <c r="D454" s="13">
        <f t="shared" si="14"/>
        <v>93139.071559645148</v>
      </c>
      <c r="E454" s="13">
        <f t="shared" si="13"/>
        <v>95374.409277076629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2.75" customHeight="1" x14ac:dyDescent="0.2">
      <c r="A455" s="14"/>
      <c r="B455" s="24" t="s">
        <v>228</v>
      </c>
      <c r="C455" s="5"/>
      <c r="D455" s="5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2.75" customHeight="1" x14ac:dyDescent="0.2">
      <c r="A456" s="11">
        <v>340227</v>
      </c>
      <c r="B456" s="12" t="s">
        <v>229</v>
      </c>
      <c r="C456" s="13">
        <v>35485.508454165007</v>
      </c>
      <c r="D456" s="13">
        <f t="shared" si="14"/>
        <v>36372.646165519131</v>
      </c>
      <c r="E456" s="13">
        <f t="shared" si="13"/>
        <v>37245.589673491588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2.75" customHeight="1" x14ac:dyDescent="0.2">
      <c r="A457" s="11">
        <v>900688</v>
      </c>
      <c r="B457" s="12" t="s">
        <v>230</v>
      </c>
      <c r="C457" s="13">
        <v>120650.72874416101</v>
      </c>
      <c r="D457" s="13">
        <f t="shared" si="14"/>
        <v>123666.99696276503</v>
      </c>
      <c r="E457" s="13">
        <f t="shared" si="13"/>
        <v>126635.00488987139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2.75" customHeight="1" x14ac:dyDescent="0.2">
      <c r="A458" s="11">
        <v>900163</v>
      </c>
      <c r="B458" s="12" t="s">
        <v>231</v>
      </c>
      <c r="C458" s="13">
        <v>68132.176231996811</v>
      </c>
      <c r="D458" s="13">
        <f t="shared" si="14"/>
        <v>69835.480637796732</v>
      </c>
      <c r="E458" s="13">
        <f t="shared" si="13"/>
        <v>71511.532173103857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2.75" customHeight="1" x14ac:dyDescent="0.2">
      <c r="A459" s="11">
        <v>900043</v>
      </c>
      <c r="B459" s="12" t="s">
        <v>232</v>
      </c>
      <c r="C459" s="13">
        <v>167491.59990365882</v>
      </c>
      <c r="D459" s="13">
        <f t="shared" si="14"/>
        <v>171678.88990125028</v>
      </c>
      <c r="E459" s="13">
        <f t="shared" si="13"/>
        <v>175799.18325888028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2.75" customHeight="1" x14ac:dyDescent="0.2">
      <c r="A460" s="11">
        <v>900428</v>
      </c>
      <c r="B460" s="12" t="s">
        <v>234</v>
      </c>
      <c r="C460" s="13">
        <v>326466.67777831806</v>
      </c>
      <c r="D460" s="13">
        <f t="shared" si="14"/>
        <v>334628.34472277598</v>
      </c>
      <c r="E460" s="13">
        <f t="shared" si="13"/>
        <v>342659.4249961226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2.75" customHeight="1" x14ac:dyDescent="0.2">
      <c r="A461" s="11">
        <v>900689</v>
      </c>
      <c r="B461" s="12" t="s">
        <v>235</v>
      </c>
      <c r="C461" s="13">
        <v>137683.77280216021</v>
      </c>
      <c r="D461" s="13">
        <f t="shared" si="14"/>
        <v>141125.8671222142</v>
      </c>
      <c r="E461" s="13">
        <f t="shared" si="13"/>
        <v>144512.88793314734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2.75" customHeight="1" x14ac:dyDescent="0.2">
      <c r="A462" s="14"/>
      <c r="B462" s="33" t="s">
        <v>201</v>
      </c>
      <c r="C462" s="34"/>
      <c r="D462" s="34"/>
      <c r="E462" s="3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2.75" customHeight="1" x14ac:dyDescent="0.2">
      <c r="A463" s="11">
        <v>149</v>
      </c>
      <c r="B463" s="12" t="s">
        <v>202</v>
      </c>
      <c r="C463" s="13">
        <v>265548.60546538298</v>
      </c>
      <c r="D463" s="13">
        <f t="shared" ref="D463:D474" si="15">IFERROR(C463*(1+$D$12),C463)</f>
        <v>272187.32060201751</v>
      </c>
      <c r="E463" s="13">
        <f t="shared" ref="E463:E474" si="16">IFERROR(D463*(1+$E$12),D463)</f>
        <v>278719.81629646593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2.75" customHeight="1" x14ac:dyDescent="0.2">
      <c r="A464" s="11">
        <v>153</v>
      </c>
      <c r="B464" s="12" t="s">
        <v>203</v>
      </c>
      <c r="C464" s="13">
        <v>318412.44822006568</v>
      </c>
      <c r="D464" s="13">
        <f t="shared" si="15"/>
        <v>326372.75942556729</v>
      </c>
      <c r="E464" s="13">
        <f t="shared" si="16"/>
        <v>334205.70565178088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2.75" customHeight="1" x14ac:dyDescent="0.2">
      <c r="A465" s="11">
        <v>152</v>
      </c>
      <c r="B465" s="12" t="s">
        <v>204</v>
      </c>
      <c r="C465" s="13">
        <v>333165.14852369804</v>
      </c>
      <c r="D465" s="13">
        <f t="shared" si="15"/>
        <v>341494.27723679045</v>
      </c>
      <c r="E465" s="13">
        <f t="shared" si="16"/>
        <v>349690.13989047345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2.75" customHeight="1" x14ac:dyDescent="0.2">
      <c r="A466" s="11">
        <v>155</v>
      </c>
      <c r="B466" s="12" t="s">
        <v>205</v>
      </c>
      <c r="C466" s="13">
        <v>366358.72420687095</v>
      </c>
      <c r="D466" s="13">
        <f t="shared" si="15"/>
        <v>375517.69231204269</v>
      </c>
      <c r="E466" s="13">
        <f t="shared" si="16"/>
        <v>384530.11692753172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2.75" customHeight="1" x14ac:dyDescent="0.2">
      <c r="A467" s="11">
        <v>3650</v>
      </c>
      <c r="B467" s="12" t="s">
        <v>206</v>
      </c>
      <c r="C467" s="13">
        <v>433654.93841440498</v>
      </c>
      <c r="D467" s="13">
        <f t="shared" si="15"/>
        <v>444496.31187476509</v>
      </c>
      <c r="E467" s="13">
        <f t="shared" si="16"/>
        <v>455164.22335975943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2.75" customHeight="1" x14ac:dyDescent="0.2">
      <c r="A468" s="11">
        <v>906</v>
      </c>
      <c r="B468" s="12" t="s">
        <v>207</v>
      </c>
      <c r="C468" s="13">
        <v>433654.93841440498</v>
      </c>
      <c r="D468" s="13">
        <f t="shared" si="15"/>
        <v>444496.31187476509</v>
      </c>
      <c r="E468" s="13">
        <f t="shared" si="16"/>
        <v>455164.22335975943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2.75" customHeight="1" x14ac:dyDescent="0.2">
      <c r="A469" s="11">
        <v>900655</v>
      </c>
      <c r="B469" s="12" t="s">
        <v>208</v>
      </c>
      <c r="C469" s="13">
        <v>433654.93841440498</v>
      </c>
      <c r="D469" s="13">
        <f t="shared" si="15"/>
        <v>444496.31187476509</v>
      </c>
      <c r="E469" s="13">
        <f t="shared" si="16"/>
        <v>455164.22335975943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2.75" customHeight="1" x14ac:dyDescent="0.2">
      <c r="A470" s="11">
        <v>715</v>
      </c>
      <c r="B470" s="12" t="s">
        <v>209</v>
      </c>
      <c r="C470" s="13">
        <v>433654.93841440498</v>
      </c>
      <c r="D470" s="13">
        <f t="shared" si="15"/>
        <v>444496.31187476509</v>
      </c>
      <c r="E470" s="13">
        <f t="shared" si="16"/>
        <v>455164.22335975943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2.75" customHeight="1" x14ac:dyDescent="0.2">
      <c r="A471" s="11">
        <v>613</v>
      </c>
      <c r="B471" s="12" t="s">
        <v>210</v>
      </c>
      <c r="C471" s="13">
        <v>433654.93841440498</v>
      </c>
      <c r="D471" s="13">
        <f t="shared" si="15"/>
        <v>444496.31187476509</v>
      </c>
      <c r="E471" s="13">
        <f t="shared" si="16"/>
        <v>455164.22335975943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2.75" customHeight="1" x14ac:dyDescent="0.2">
      <c r="A472" s="11">
        <v>614</v>
      </c>
      <c r="B472" s="12" t="s">
        <v>211</v>
      </c>
      <c r="C472" s="13">
        <v>433654.93841440498</v>
      </c>
      <c r="D472" s="13">
        <f t="shared" si="15"/>
        <v>444496.31187476509</v>
      </c>
      <c r="E472" s="13">
        <f t="shared" si="16"/>
        <v>455164.22335975943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2.75" customHeight="1" x14ac:dyDescent="0.2">
      <c r="A473" s="11">
        <v>615</v>
      </c>
      <c r="B473" s="12" t="s">
        <v>212</v>
      </c>
      <c r="C473" s="13">
        <v>433654.93841440498</v>
      </c>
      <c r="D473" s="13">
        <f t="shared" si="15"/>
        <v>444496.31187476509</v>
      </c>
      <c r="E473" s="13">
        <f t="shared" si="16"/>
        <v>455164.22335975943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2.75" customHeight="1" x14ac:dyDescent="0.2">
      <c r="A474" s="11">
        <v>7203</v>
      </c>
      <c r="B474" s="12" t="s">
        <v>213</v>
      </c>
      <c r="C474" s="13">
        <v>558933.0317341222</v>
      </c>
      <c r="D474" s="130">
        <f t="shared" si="15"/>
        <v>572906.35752747522</v>
      </c>
      <c r="E474" s="130">
        <f t="shared" si="16"/>
        <v>586656.11010813469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2.75" customHeight="1" x14ac:dyDescent="0.2">
      <c r="A475" s="128">
        <v>900653</v>
      </c>
      <c r="B475" s="129" t="s">
        <v>1155</v>
      </c>
      <c r="C475" s="127"/>
      <c r="D475" s="131"/>
      <c r="E475" s="132">
        <v>220000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2.75" customHeight="1" x14ac:dyDescent="0.2">
      <c r="A476" s="35"/>
      <c r="B476" s="59" t="s">
        <v>387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2.75" customHeight="1" x14ac:dyDescent="0.2">
      <c r="A477" s="27"/>
      <c r="B477" s="6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2.75" customHeight="1" x14ac:dyDescent="0.2">
      <c r="A478" s="39" t="s">
        <v>2</v>
      </c>
      <c r="B478" s="61" t="s">
        <v>237</v>
      </c>
      <c r="C478" s="5"/>
      <c r="D478" s="5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2.75" customHeight="1" x14ac:dyDescent="0.2">
      <c r="A479" s="11">
        <v>575</v>
      </c>
      <c r="B479" s="22" t="s">
        <v>238</v>
      </c>
      <c r="C479" s="13">
        <v>152000</v>
      </c>
      <c r="D479" s="13">
        <f t="shared" ref="D479:D542" si="17">IFERROR(C479*(1+$D$12),C479)</f>
        <v>155800</v>
      </c>
      <c r="E479" s="13">
        <f t="shared" ref="E479:E541" si="18">IFERROR(D479*(1+$E$12),D479)</f>
        <v>159539.20000000001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2.75" customHeight="1" x14ac:dyDescent="0.2">
      <c r="A480" s="11">
        <v>588</v>
      </c>
      <c r="B480" s="22" t="s">
        <v>240</v>
      </c>
      <c r="C480" s="121" t="s">
        <v>1152</v>
      </c>
      <c r="D480" s="121" t="str">
        <f t="shared" si="17"/>
        <v>ADECRA/CEDIM</v>
      </c>
      <c r="E480" s="121" t="str">
        <f t="shared" si="18"/>
        <v>ADECRA/CEDIM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2.75" customHeight="1" x14ac:dyDescent="0.2">
      <c r="A481" s="11" t="s">
        <v>0</v>
      </c>
      <c r="B481" s="25" t="s">
        <v>388</v>
      </c>
      <c r="C481" s="5"/>
      <c r="D481" s="5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2.75" customHeight="1" x14ac:dyDescent="0.2">
      <c r="A482" s="11">
        <v>595</v>
      </c>
      <c r="B482" s="25" t="s">
        <v>389</v>
      </c>
      <c r="C482" s="5"/>
      <c r="D482" s="5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2.75" customHeight="1" x14ac:dyDescent="0.2">
      <c r="A483" s="11"/>
      <c r="B483" s="22" t="s">
        <v>242</v>
      </c>
      <c r="C483" s="18" t="s">
        <v>243</v>
      </c>
      <c r="D483" s="18" t="str">
        <f t="shared" si="17"/>
        <v>Presupuesto</v>
      </c>
      <c r="E483" s="18" t="str">
        <f t="shared" si="18"/>
        <v>Presupuesto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2.75" customHeight="1" x14ac:dyDescent="0.2">
      <c r="A484" s="11"/>
      <c r="B484" s="22" t="s">
        <v>244</v>
      </c>
      <c r="C484" s="13">
        <v>364055.99768122903</v>
      </c>
      <c r="D484" s="13">
        <f t="shared" si="17"/>
        <v>373157.39762325969</v>
      </c>
      <c r="E484" s="13">
        <f t="shared" si="18"/>
        <v>382113.17516621796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2.75" customHeight="1" x14ac:dyDescent="0.2">
      <c r="A485" s="11"/>
      <c r="B485" s="22" t="s">
        <v>245</v>
      </c>
      <c r="C485" s="18" t="s">
        <v>243</v>
      </c>
      <c r="D485" s="18" t="str">
        <f t="shared" si="17"/>
        <v>Presupuesto</v>
      </c>
      <c r="E485" s="18" t="str">
        <f t="shared" si="18"/>
        <v>Presupuesto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2.75" customHeight="1" x14ac:dyDescent="0.2">
      <c r="A486" s="11"/>
      <c r="B486" s="22" t="s">
        <v>246</v>
      </c>
      <c r="C486" s="13">
        <v>273041.99826092174</v>
      </c>
      <c r="D486" s="13">
        <f t="shared" si="17"/>
        <v>279868.04821744474</v>
      </c>
      <c r="E486" s="13">
        <f t="shared" si="18"/>
        <v>286584.88137466344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2.75" customHeight="1" x14ac:dyDescent="0.2">
      <c r="A487" s="11"/>
      <c r="B487" s="22" t="s">
        <v>247</v>
      </c>
      <c r="C487" s="18" t="s">
        <v>243</v>
      </c>
      <c r="D487" s="18" t="str">
        <f t="shared" si="17"/>
        <v>Presupuesto</v>
      </c>
      <c r="E487" s="18" t="str">
        <f t="shared" si="18"/>
        <v>Presupuesto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2.75" customHeight="1" x14ac:dyDescent="0.2">
      <c r="A488" s="11"/>
      <c r="B488" s="25" t="s">
        <v>248</v>
      </c>
      <c r="C488" s="5"/>
      <c r="D488" s="5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2.75" customHeight="1" x14ac:dyDescent="0.2">
      <c r="A489" s="11">
        <v>589</v>
      </c>
      <c r="B489" s="22" t="s">
        <v>249</v>
      </c>
      <c r="C489" s="13">
        <v>130050</v>
      </c>
      <c r="D489" s="13">
        <f t="shared" si="17"/>
        <v>133301.25</v>
      </c>
      <c r="E489" s="13">
        <f t="shared" si="18"/>
        <v>136500.48000000001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2.75" customHeight="1" x14ac:dyDescent="0.2">
      <c r="A490" s="11"/>
      <c r="B490" s="24" t="s">
        <v>250</v>
      </c>
      <c r="C490" s="5"/>
      <c r="D490" s="5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2.75" customHeight="1" x14ac:dyDescent="0.2">
      <c r="A491" s="11">
        <v>591</v>
      </c>
      <c r="B491" s="22" t="s">
        <v>251</v>
      </c>
      <c r="C491" s="13">
        <v>167197.27010783376</v>
      </c>
      <c r="D491" s="13">
        <f t="shared" si="17"/>
        <v>171377.20186052957</v>
      </c>
      <c r="E491" s="13">
        <f t="shared" si="18"/>
        <v>175490.25470518228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2.75" customHeight="1" x14ac:dyDescent="0.2">
      <c r="A492" s="11" t="s">
        <v>0</v>
      </c>
      <c r="B492" s="24" t="s">
        <v>252</v>
      </c>
      <c r="C492" s="5"/>
      <c r="D492" s="5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2.75" customHeight="1" x14ac:dyDescent="0.2">
      <c r="A493" s="11">
        <v>592</v>
      </c>
      <c r="B493" s="22" t="s">
        <v>253</v>
      </c>
      <c r="C493" s="13">
        <v>234090</v>
      </c>
      <c r="D493" s="13">
        <f t="shared" si="17"/>
        <v>239942.24999999997</v>
      </c>
      <c r="E493" s="13">
        <f t="shared" si="18"/>
        <v>245700.86399999997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2.75" customHeight="1" x14ac:dyDescent="0.2">
      <c r="A494" s="11"/>
      <c r="B494" s="24" t="s">
        <v>254</v>
      </c>
      <c r="C494" s="5"/>
      <c r="D494" s="5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2.75" customHeight="1" x14ac:dyDescent="0.2">
      <c r="A495" s="11">
        <v>593</v>
      </c>
      <c r="B495" s="22" t="s">
        <v>255</v>
      </c>
      <c r="C495" s="13">
        <v>173958.92441366523</v>
      </c>
      <c r="D495" s="13">
        <f t="shared" si="17"/>
        <v>178307.89752400684</v>
      </c>
      <c r="E495" s="13">
        <f t="shared" si="18"/>
        <v>182587.28706458301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2.75" customHeight="1" x14ac:dyDescent="0.2">
      <c r="A496" s="11"/>
      <c r="B496" s="24" t="s">
        <v>256</v>
      </c>
      <c r="C496" s="5"/>
      <c r="D496" s="5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2.75" customHeight="1" x14ac:dyDescent="0.2">
      <c r="A497" s="11">
        <v>594</v>
      </c>
      <c r="B497" s="22" t="s">
        <v>255</v>
      </c>
      <c r="C497" s="13">
        <v>174787.20000000001</v>
      </c>
      <c r="D497" s="13">
        <f t="shared" si="17"/>
        <v>179156.88</v>
      </c>
      <c r="E497" s="13">
        <f t="shared" si="18"/>
        <v>183456.64512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2.75" customHeight="1" x14ac:dyDescent="0.2">
      <c r="A498" s="11"/>
      <c r="B498" s="24" t="s">
        <v>257</v>
      </c>
      <c r="C498" s="5"/>
      <c r="D498" s="5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2.75" customHeight="1" x14ac:dyDescent="0.2">
      <c r="A499" s="11">
        <v>596</v>
      </c>
      <c r="B499" s="22" t="s">
        <v>258</v>
      </c>
      <c r="C499" s="13">
        <v>192474</v>
      </c>
      <c r="D499" s="13">
        <f t="shared" si="17"/>
        <v>197285.84999999998</v>
      </c>
      <c r="E499" s="13">
        <f t="shared" si="18"/>
        <v>202020.71039999998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2.75" customHeight="1" x14ac:dyDescent="0.2">
      <c r="A500" s="11"/>
      <c r="B500" s="22" t="s">
        <v>259</v>
      </c>
      <c r="C500" s="43"/>
      <c r="D500" s="43"/>
      <c r="E500" s="4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2.75" customHeight="1" x14ac:dyDescent="0.2">
      <c r="A501" s="11"/>
      <c r="B501" s="22" t="s">
        <v>260</v>
      </c>
      <c r="C501" s="18" t="s">
        <v>239</v>
      </c>
      <c r="D501" s="18" t="str">
        <f t="shared" si="17"/>
        <v>Kairos 100%</v>
      </c>
      <c r="E501" s="18" t="str">
        <f t="shared" si="18"/>
        <v>Kairos 100%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2.75" customHeight="1" x14ac:dyDescent="0.2">
      <c r="A502" s="11"/>
      <c r="B502" s="25" t="s">
        <v>261</v>
      </c>
      <c r="C502" s="5"/>
      <c r="D502" s="5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2.75" customHeight="1" x14ac:dyDescent="0.2">
      <c r="A503" s="11">
        <v>597</v>
      </c>
      <c r="B503" s="42" t="s">
        <v>262</v>
      </c>
      <c r="C503" s="13">
        <v>62424</v>
      </c>
      <c r="D503" s="13">
        <f t="shared" si="17"/>
        <v>63984.599999999991</v>
      </c>
      <c r="E503" s="13">
        <f t="shared" si="18"/>
        <v>65520.230399999993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2.75" customHeight="1" x14ac:dyDescent="0.2">
      <c r="A504" s="11"/>
      <c r="B504" s="42" t="s">
        <v>263</v>
      </c>
      <c r="C504" s="62"/>
      <c r="D504" s="62"/>
      <c r="E504" s="6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2.75" customHeight="1" x14ac:dyDescent="0.2">
      <c r="A505" s="11"/>
      <c r="B505" s="42" t="s">
        <v>264</v>
      </c>
      <c r="C505" s="62"/>
      <c r="D505" s="62"/>
      <c r="E505" s="6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2.75" customHeight="1" x14ac:dyDescent="0.2">
      <c r="A506" s="11"/>
      <c r="B506" s="15" t="s">
        <v>390</v>
      </c>
      <c r="C506" s="5"/>
      <c r="D506" s="5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2.75" customHeight="1" x14ac:dyDescent="0.2">
      <c r="A507" s="11">
        <v>540</v>
      </c>
      <c r="B507" s="22" t="s">
        <v>391</v>
      </c>
      <c r="C507" s="13">
        <v>120956.44491708025</v>
      </c>
      <c r="D507" s="13">
        <f t="shared" si="17"/>
        <v>123980.35604000725</v>
      </c>
      <c r="E507" s="13">
        <f t="shared" si="18"/>
        <v>126955.88458496743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2.75" customHeight="1" x14ac:dyDescent="0.2">
      <c r="A508" s="11">
        <v>541</v>
      </c>
      <c r="B508" s="22" t="s">
        <v>392</v>
      </c>
      <c r="C508" s="13">
        <v>170789.45167034914</v>
      </c>
      <c r="D508" s="13">
        <f t="shared" si="17"/>
        <v>175059.18796210786</v>
      </c>
      <c r="E508" s="13">
        <f t="shared" si="18"/>
        <v>179260.60847319846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2.75" customHeight="1" x14ac:dyDescent="0.2">
      <c r="A509" s="11">
        <v>542</v>
      </c>
      <c r="B509" s="22" t="s">
        <v>393</v>
      </c>
      <c r="C509" s="13">
        <v>228969.14697418571</v>
      </c>
      <c r="D509" s="13">
        <f t="shared" si="17"/>
        <v>234693.37564854033</v>
      </c>
      <c r="E509" s="13">
        <f t="shared" si="18"/>
        <v>240326.01666410529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2.75" customHeight="1" x14ac:dyDescent="0.2">
      <c r="A510" s="11">
        <v>543</v>
      </c>
      <c r="B510" s="22" t="s">
        <v>394</v>
      </c>
      <c r="C510" s="13">
        <v>292896.0700794427</v>
      </c>
      <c r="D510" s="13">
        <f t="shared" si="17"/>
        <v>300218.47183142876</v>
      </c>
      <c r="E510" s="13">
        <f t="shared" si="18"/>
        <v>307423.71515538305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2.75" customHeight="1" x14ac:dyDescent="0.2">
      <c r="A511" s="45"/>
      <c r="B511" s="63" t="s">
        <v>265</v>
      </c>
      <c r="C511" s="5"/>
      <c r="D511" s="5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2.75" customHeight="1" x14ac:dyDescent="0.2">
      <c r="A512" s="11"/>
      <c r="B512" s="22" t="s">
        <v>266</v>
      </c>
      <c r="C512" s="13">
        <v>177506.77557738556</v>
      </c>
      <c r="D512" s="13">
        <f t="shared" si="17"/>
        <v>181944.44496682019</v>
      </c>
      <c r="E512" s="13">
        <f t="shared" si="18"/>
        <v>186311.11164602387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2.75" customHeight="1" x14ac:dyDescent="0.2">
      <c r="A513" s="11"/>
      <c r="B513" s="22" t="s">
        <v>267</v>
      </c>
      <c r="C513" s="13">
        <v>177506.77557738556</v>
      </c>
      <c r="D513" s="13">
        <f t="shared" si="17"/>
        <v>181944.44496682019</v>
      </c>
      <c r="E513" s="13">
        <f t="shared" si="18"/>
        <v>186311.11164602387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2.75" customHeight="1" x14ac:dyDescent="0.2">
      <c r="A514" s="11"/>
      <c r="B514" s="22" t="s">
        <v>268</v>
      </c>
      <c r="C514" s="13">
        <v>177506.77557738556</v>
      </c>
      <c r="D514" s="13">
        <f t="shared" si="17"/>
        <v>181944.44496682019</v>
      </c>
      <c r="E514" s="13">
        <f t="shared" si="18"/>
        <v>186311.11164602387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2.75" customHeight="1" x14ac:dyDescent="0.2">
      <c r="A515" s="11"/>
      <c r="B515" s="22" t="s">
        <v>269</v>
      </c>
      <c r="C515" s="13">
        <v>177506.77557738556</v>
      </c>
      <c r="D515" s="13">
        <f t="shared" si="17"/>
        <v>181944.44496682019</v>
      </c>
      <c r="E515" s="13">
        <f t="shared" si="18"/>
        <v>186311.11164602387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2.75" customHeight="1" x14ac:dyDescent="0.2">
      <c r="A516" s="11"/>
      <c r="B516" s="22" t="s">
        <v>270</v>
      </c>
      <c r="C516" s="13">
        <v>177506.77557738556</v>
      </c>
      <c r="D516" s="13">
        <f t="shared" si="17"/>
        <v>181944.44496682019</v>
      </c>
      <c r="E516" s="13">
        <f t="shared" si="18"/>
        <v>186311.11164602387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2.75" customHeight="1" x14ac:dyDescent="0.2">
      <c r="A517" s="11"/>
      <c r="B517" s="22" t="s">
        <v>271</v>
      </c>
      <c r="C517" s="13">
        <v>177506.77557738556</v>
      </c>
      <c r="D517" s="13">
        <f t="shared" si="17"/>
        <v>181944.44496682019</v>
      </c>
      <c r="E517" s="13">
        <f t="shared" si="18"/>
        <v>186311.11164602387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2.75" customHeight="1" x14ac:dyDescent="0.2">
      <c r="A518" s="11"/>
      <c r="B518" s="22" t="s">
        <v>272</v>
      </c>
      <c r="C518" s="13">
        <v>177506.77557738556</v>
      </c>
      <c r="D518" s="13">
        <f t="shared" si="17"/>
        <v>181944.44496682019</v>
      </c>
      <c r="E518" s="13">
        <f t="shared" si="18"/>
        <v>186311.11164602387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2.75" customHeight="1" x14ac:dyDescent="0.2">
      <c r="A519" s="11"/>
      <c r="B519" s="22" t="s">
        <v>273</v>
      </c>
      <c r="C519" s="13">
        <v>177506.77557738556</v>
      </c>
      <c r="D519" s="13">
        <f t="shared" si="17"/>
        <v>181944.44496682019</v>
      </c>
      <c r="E519" s="13">
        <f t="shared" si="18"/>
        <v>186311.11164602387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2.75" customHeight="1" x14ac:dyDescent="0.2">
      <c r="A520" s="11"/>
      <c r="B520" s="22" t="s">
        <v>274</v>
      </c>
      <c r="C520" s="13">
        <v>177506.77557738556</v>
      </c>
      <c r="D520" s="13">
        <f t="shared" si="17"/>
        <v>181944.44496682019</v>
      </c>
      <c r="E520" s="13">
        <f t="shared" si="18"/>
        <v>186311.11164602387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2.75" customHeight="1" x14ac:dyDescent="0.2">
      <c r="A521" s="11"/>
      <c r="B521" s="22" t="s">
        <v>275</v>
      </c>
      <c r="C521" s="13">
        <v>177506.77557738556</v>
      </c>
      <c r="D521" s="13">
        <f t="shared" si="17"/>
        <v>181944.44496682019</v>
      </c>
      <c r="E521" s="13">
        <f t="shared" si="18"/>
        <v>186311.11164602387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2.75" customHeight="1" x14ac:dyDescent="0.2">
      <c r="A522" s="11"/>
      <c r="B522" s="22" t="s">
        <v>395</v>
      </c>
      <c r="C522" s="13">
        <v>266250.76451107592</v>
      </c>
      <c r="D522" s="13">
        <f t="shared" si="17"/>
        <v>272907.03362385277</v>
      </c>
      <c r="E522" s="13">
        <f t="shared" si="18"/>
        <v>279456.80243082525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2.75" customHeight="1" x14ac:dyDescent="0.2">
      <c r="A523" s="11"/>
      <c r="B523" s="22" t="s">
        <v>277</v>
      </c>
      <c r="C523" s="13">
        <v>213015.64977686477</v>
      </c>
      <c r="D523" s="13">
        <f t="shared" si="17"/>
        <v>218341.04102128636</v>
      </c>
      <c r="E523" s="13">
        <f t="shared" si="18"/>
        <v>223581.22600579725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2.75" customHeight="1" x14ac:dyDescent="0.2">
      <c r="A524" s="11"/>
      <c r="B524" s="22" t="s">
        <v>278</v>
      </c>
      <c r="C524" s="13">
        <v>213015.64977686477</v>
      </c>
      <c r="D524" s="13">
        <f t="shared" si="17"/>
        <v>218341.04102128636</v>
      </c>
      <c r="E524" s="13">
        <f t="shared" si="18"/>
        <v>223581.22600579725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2.75" customHeight="1" x14ac:dyDescent="0.2">
      <c r="A525" s="11"/>
      <c r="B525" s="22" t="s">
        <v>279</v>
      </c>
      <c r="C525" s="13">
        <v>150870.42050027501</v>
      </c>
      <c r="D525" s="13">
        <f t="shared" si="17"/>
        <v>154642.18101278186</v>
      </c>
      <c r="E525" s="13">
        <f t="shared" si="18"/>
        <v>158353.59335708863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2.75" customHeight="1" x14ac:dyDescent="0.2">
      <c r="A526" s="11"/>
      <c r="B526" s="22" t="s">
        <v>280</v>
      </c>
      <c r="C526" s="13">
        <v>177506.77557738556</v>
      </c>
      <c r="D526" s="13">
        <f t="shared" si="17"/>
        <v>181944.44496682019</v>
      </c>
      <c r="E526" s="13">
        <f t="shared" si="18"/>
        <v>186311.11164602387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2.75" customHeight="1" x14ac:dyDescent="0.2">
      <c r="A527" s="11"/>
      <c r="B527" s="22" t="s">
        <v>281</v>
      </c>
      <c r="C527" s="18" t="s">
        <v>239</v>
      </c>
      <c r="D527" s="18" t="str">
        <f t="shared" si="17"/>
        <v>Kairos 100%</v>
      </c>
      <c r="E527" s="18" t="str">
        <f t="shared" si="18"/>
        <v>Kairos 100%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2.75" customHeight="1" x14ac:dyDescent="0.2">
      <c r="A528" s="45"/>
      <c r="B528" s="63" t="s">
        <v>282</v>
      </c>
      <c r="C528" s="5"/>
      <c r="D528" s="5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2.75" customHeight="1" x14ac:dyDescent="0.2">
      <c r="A529" s="11"/>
      <c r="B529" s="22" t="s">
        <v>283</v>
      </c>
      <c r="C529" s="13">
        <v>237828.62698348856</v>
      </c>
      <c r="D529" s="13">
        <f t="shared" si="17"/>
        <v>243774.34265807577</v>
      </c>
      <c r="E529" s="13">
        <f t="shared" si="18"/>
        <v>249624.92688186959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2.75" customHeight="1" x14ac:dyDescent="0.2">
      <c r="A530" s="11"/>
      <c r="B530" s="22" t="s">
        <v>284</v>
      </c>
      <c r="C530" s="13">
        <v>237828.62698348856</v>
      </c>
      <c r="D530" s="13">
        <f t="shared" si="17"/>
        <v>243774.34265807577</v>
      </c>
      <c r="E530" s="13">
        <f t="shared" si="18"/>
        <v>249624.92688186959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2.75" customHeight="1" x14ac:dyDescent="0.2">
      <c r="A531" s="11"/>
      <c r="B531" s="22" t="s">
        <v>285</v>
      </c>
      <c r="C531" s="13">
        <v>237828.62698348856</v>
      </c>
      <c r="D531" s="13">
        <f t="shared" si="17"/>
        <v>243774.34265807577</v>
      </c>
      <c r="E531" s="13">
        <f t="shared" si="18"/>
        <v>249624.92688186959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2.75" customHeight="1" x14ac:dyDescent="0.2">
      <c r="A532" s="11"/>
      <c r="B532" s="22" t="s">
        <v>286</v>
      </c>
      <c r="C532" s="13">
        <v>237828.62698348856</v>
      </c>
      <c r="D532" s="13">
        <f t="shared" si="17"/>
        <v>243774.34265807577</v>
      </c>
      <c r="E532" s="13">
        <f t="shared" si="18"/>
        <v>249624.92688186959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2.75" customHeight="1" x14ac:dyDescent="0.2">
      <c r="A533" s="11"/>
      <c r="B533" s="22" t="s">
        <v>287</v>
      </c>
      <c r="C533" s="13">
        <v>237828.62698348856</v>
      </c>
      <c r="D533" s="13">
        <f t="shared" si="17"/>
        <v>243774.34265807577</v>
      </c>
      <c r="E533" s="13">
        <f t="shared" si="18"/>
        <v>249624.92688186959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2.75" customHeight="1" x14ac:dyDescent="0.2">
      <c r="A534" s="11"/>
      <c r="B534" s="22" t="s">
        <v>288</v>
      </c>
      <c r="C534" s="13">
        <v>237828.62698348856</v>
      </c>
      <c r="D534" s="13">
        <f t="shared" si="17"/>
        <v>243774.34265807577</v>
      </c>
      <c r="E534" s="13">
        <f t="shared" si="18"/>
        <v>249624.92688186959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2.75" customHeight="1" x14ac:dyDescent="0.2">
      <c r="A535" s="11"/>
      <c r="B535" s="22" t="s">
        <v>289</v>
      </c>
      <c r="C535" s="13">
        <v>237828.62698348856</v>
      </c>
      <c r="D535" s="13">
        <f t="shared" si="17"/>
        <v>243774.34265807577</v>
      </c>
      <c r="E535" s="13">
        <f t="shared" si="18"/>
        <v>249624.92688186959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2.75" customHeight="1" x14ac:dyDescent="0.2">
      <c r="A536" s="11"/>
      <c r="B536" s="22" t="s">
        <v>290</v>
      </c>
      <c r="C536" s="13">
        <v>237828.62698348856</v>
      </c>
      <c r="D536" s="13">
        <f t="shared" si="17"/>
        <v>243774.34265807577</v>
      </c>
      <c r="E536" s="13">
        <f t="shared" si="18"/>
        <v>249624.92688186959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2.75" customHeight="1" x14ac:dyDescent="0.2">
      <c r="A537" s="11"/>
      <c r="B537" s="22" t="s">
        <v>291</v>
      </c>
      <c r="C537" s="13">
        <v>237828.62698348856</v>
      </c>
      <c r="D537" s="13">
        <f t="shared" si="17"/>
        <v>243774.34265807577</v>
      </c>
      <c r="E537" s="13">
        <f t="shared" si="18"/>
        <v>249624.92688186959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2.75" customHeight="1" x14ac:dyDescent="0.2">
      <c r="A538" s="11"/>
      <c r="B538" s="22" t="s">
        <v>292</v>
      </c>
      <c r="C538" s="13">
        <v>380465.65050156566</v>
      </c>
      <c r="D538" s="13">
        <f t="shared" si="17"/>
        <v>389977.29176410474</v>
      </c>
      <c r="E538" s="13">
        <f t="shared" si="18"/>
        <v>399336.74676644325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2.75" customHeight="1" x14ac:dyDescent="0.2">
      <c r="A539" s="11"/>
      <c r="B539" s="22" t="s">
        <v>293</v>
      </c>
      <c r="C539" s="13">
        <v>428061.45223427145</v>
      </c>
      <c r="D539" s="13">
        <f t="shared" si="17"/>
        <v>438762.98854012822</v>
      </c>
      <c r="E539" s="13">
        <f t="shared" si="18"/>
        <v>449293.3002650913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2.75" customHeight="1" x14ac:dyDescent="0.2">
      <c r="A540" s="11"/>
      <c r="B540" s="22" t="s">
        <v>294</v>
      </c>
      <c r="C540" s="13">
        <v>356742.9404752329</v>
      </c>
      <c r="D540" s="13">
        <f t="shared" si="17"/>
        <v>365661.51398711366</v>
      </c>
      <c r="E540" s="13">
        <f t="shared" si="18"/>
        <v>374437.39032280439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2.75" customHeight="1" x14ac:dyDescent="0.2">
      <c r="A541" s="11"/>
      <c r="B541" s="22" t="s">
        <v>295</v>
      </c>
      <c r="C541" s="13">
        <v>356742.9404752329</v>
      </c>
      <c r="D541" s="13">
        <f t="shared" si="17"/>
        <v>365661.51398711366</v>
      </c>
      <c r="E541" s="13">
        <f t="shared" si="18"/>
        <v>374437.39032280439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2.75" customHeight="1" x14ac:dyDescent="0.2">
      <c r="A542" s="11"/>
      <c r="B542" s="22" t="s">
        <v>296</v>
      </c>
      <c r="C542" s="13">
        <v>380465.65050156566</v>
      </c>
      <c r="D542" s="13">
        <f t="shared" si="17"/>
        <v>389977.29176410474</v>
      </c>
      <c r="E542" s="13">
        <f t="shared" ref="E542:E605" si="19">IFERROR(D542*(1+$E$12),D542)</f>
        <v>399336.74676644325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2.75" customHeight="1" x14ac:dyDescent="0.2">
      <c r="A543" s="11"/>
      <c r="B543" s="22" t="s">
        <v>297</v>
      </c>
      <c r="C543" s="13">
        <v>356742.9404752329</v>
      </c>
      <c r="D543" s="13">
        <f t="shared" ref="D543" si="20">IFERROR(C543*(1+$D$12),C543)</f>
        <v>365661.51398711366</v>
      </c>
      <c r="E543" s="13">
        <f t="shared" si="19"/>
        <v>374437.39032280439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2.75" customHeight="1" x14ac:dyDescent="0.2">
      <c r="A544" s="1"/>
      <c r="B544" s="156" t="s">
        <v>396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2.75" customHeight="1" x14ac:dyDescent="0.2">
      <c r="A545" s="1"/>
      <c r="B545" s="15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2.75" customHeight="1" x14ac:dyDescent="0.2">
      <c r="A546" s="1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2.75" customHeight="1" x14ac:dyDescent="0.2">
      <c r="A547" s="52"/>
      <c r="B547" s="158" t="s">
        <v>3</v>
      </c>
      <c r="C547" s="5"/>
      <c r="D547" s="5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2.75" customHeight="1" x14ac:dyDescent="0.2">
      <c r="A548" s="52" t="s">
        <v>2</v>
      </c>
      <c r="B548" s="159"/>
      <c r="C548" s="5"/>
      <c r="D548" s="5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2.75" customHeight="1" x14ac:dyDescent="0.2">
      <c r="A549" s="64">
        <v>680116</v>
      </c>
      <c r="B549" s="22" t="s">
        <v>397</v>
      </c>
      <c r="C549" s="13">
        <v>115683.77658456445</v>
      </c>
      <c r="D549" s="13">
        <f t="shared" ref="D549:D612" si="21">IFERROR(C549*(1+$D$12),C549)</f>
        <v>118575.87099917854</v>
      </c>
      <c r="E549" s="13">
        <f t="shared" si="19"/>
        <v>121421.69190315883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2.75" customHeight="1" x14ac:dyDescent="0.2">
      <c r="A550" s="64">
        <v>689643</v>
      </c>
      <c r="B550" s="22" t="s">
        <v>398</v>
      </c>
      <c r="C550" s="13">
        <v>523202.6091034268</v>
      </c>
      <c r="D550" s="13">
        <f t="shared" si="21"/>
        <v>536282.67433101241</v>
      </c>
      <c r="E550" s="13">
        <f t="shared" si="19"/>
        <v>549153.45851495676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2.75" customHeight="1" x14ac:dyDescent="0.2">
      <c r="A551" s="64">
        <v>680033</v>
      </c>
      <c r="B551" s="22" t="s">
        <v>399</v>
      </c>
      <c r="C551" s="13">
        <v>183423.36663559912</v>
      </c>
      <c r="D551" s="13">
        <f t="shared" si="21"/>
        <v>188008.95080148909</v>
      </c>
      <c r="E551" s="13">
        <f t="shared" si="19"/>
        <v>192521.16562072485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2.75" customHeight="1" x14ac:dyDescent="0.2">
      <c r="A552" s="64">
        <v>680139</v>
      </c>
      <c r="B552" s="22" t="s">
        <v>400</v>
      </c>
      <c r="C552" s="13">
        <v>226284.2058601797</v>
      </c>
      <c r="D552" s="13">
        <f t="shared" si="21"/>
        <v>231941.31100668418</v>
      </c>
      <c r="E552" s="13">
        <f t="shared" si="19"/>
        <v>237507.90247084459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2.75" customHeight="1" x14ac:dyDescent="0.2">
      <c r="A553" s="64">
        <v>689984</v>
      </c>
      <c r="B553" s="22" t="s">
        <v>401</v>
      </c>
      <c r="C553" s="13">
        <v>178591.39287273618</v>
      </c>
      <c r="D553" s="13">
        <f t="shared" si="21"/>
        <v>183056.17769455456</v>
      </c>
      <c r="E553" s="13">
        <f t="shared" si="19"/>
        <v>187449.52595922386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2.75" customHeight="1" x14ac:dyDescent="0.2">
      <c r="A554" s="64">
        <v>689722</v>
      </c>
      <c r="B554" s="22" t="s">
        <v>402</v>
      </c>
      <c r="C554" s="13">
        <v>13736.226491019543</v>
      </c>
      <c r="D554" s="13">
        <f t="shared" si="21"/>
        <v>14079.63215329503</v>
      </c>
      <c r="E554" s="13">
        <f t="shared" si="19"/>
        <v>14417.543324974111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2.75" customHeight="1" x14ac:dyDescent="0.2">
      <c r="A555" s="64">
        <v>689688</v>
      </c>
      <c r="B555" s="22" t="s">
        <v>403</v>
      </c>
      <c r="C555" s="13">
        <v>44966.101447607769</v>
      </c>
      <c r="D555" s="13">
        <f t="shared" si="21"/>
        <v>46090.253983797957</v>
      </c>
      <c r="E555" s="13">
        <f t="shared" si="19"/>
        <v>47196.420079409108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2.75" customHeight="1" x14ac:dyDescent="0.2">
      <c r="A556" s="64">
        <v>689739</v>
      </c>
      <c r="B556" s="22" t="s">
        <v>404</v>
      </c>
      <c r="C556" s="13">
        <v>4240.1245349237688</v>
      </c>
      <c r="D556" s="13">
        <f t="shared" si="21"/>
        <v>4346.1276482968624</v>
      </c>
      <c r="E556" s="13">
        <f t="shared" si="19"/>
        <v>4450.4347118559872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2.75" customHeight="1" x14ac:dyDescent="0.2">
      <c r="A557" s="64">
        <v>688779</v>
      </c>
      <c r="B557" s="22" t="s">
        <v>405</v>
      </c>
      <c r="C557" s="13">
        <v>179702.95391776843</v>
      </c>
      <c r="D557" s="13">
        <f t="shared" si="21"/>
        <v>184195.52776571264</v>
      </c>
      <c r="E557" s="13">
        <f t="shared" si="19"/>
        <v>188616.22043208976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2.75" customHeight="1" x14ac:dyDescent="0.2">
      <c r="A558" s="64">
        <v>689120</v>
      </c>
      <c r="B558" s="22" t="s">
        <v>406</v>
      </c>
      <c r="C558" s="13">
        <v>36853.14484641789</v>
      </c>
      <c r="D558" s="13">
        <f t="shared" si="21"/>
        <v>37774.473467578333</v>
      </c>
      <c r="E558" s="13">
        <f t="shared" si="19"/>
        <v>38681.060830800212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2.75" customHeight="1" x14ac:dyDescent="0.2">
      <c r="A559" s="64">
        <v>680123</v>
      </c>
      <c r="B559" s="22" t="s">
        <v>407</v>
      </c>
      <c r="C559" s="13">
        <v>25270.727894686657</v>
      </c>
      <c r="D559" s="13">
        <f t="shared" si="21"/>
        <v>25902.496092053821</v>
      </c>
      <c r="E559" s="13">
        <f t="shared" si="19"/>
        <v>26524.155998263115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2.75" customHeight="1" x14ac:dyDescent="0.2">
      <c r="A560" s="64">
        <v>680164</v>
      </c>
      <c r="B560" s="22" t="s">
        <v>408</v>
      </c>
      <c r="C560" s="13">
        <v>7318.8719244681497</v>
      </c>
      <c r="D560" s="13">
        <f t="shared" si="21"/>
        <v>7501.8437225798525</v>
      </c>
      <c r="E560" s="13">
        <f t="shared" si="19"/>
        <v>7681.8879719217693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2.75" customHeight="1" x14ac:dyDescent="0.2">
      <c r="A561" s="64">
        <v>681000</v>
      </c>
      <c r="B561" s="22" t="s">
        <v>409</v>
      </c>
      <c r="C561" s="13">
        <v>619722.61581060314</v>
      </c>
      <c r="D561" s="13">
        <f t="shared" si="21"/>
        <v>635215.68120586814</v>
      </c>
      <c r="E561" s="13">
        <f t="shared" si="19"/>
        <v>650460.85755480896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2.75" customHeight="1" x14ac:dyDescent="0.2">
      <c r="A562" s="64">
        <v>689318</v>
      </c>
      <c r="B562" s="22" t="s">
        <v>410</v>
      </c>
      <c r="C562" s="13">
        <v>928888.78058893513</v>
      </c>
      <c r="D562" s="13">
        <f t="shared" si="21"/>
        <v>952111.00010365841</v>
      </c>
      <c r="E562" s="13">
        <f t="shared" si="19"/>
        <v>974961.6641061462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2.75" customHeight="1" x14ac:dyDescent="0.2">
      <c r="A563" s="64">
        <v>680155</v>
      </c>
      <c r="B563" s="22" t="s">
        <v>411</v>
      </c>
      <c r="C563" s="13">
        <v>5036.1033598150971</v>
      </c>
      <c r="D563" s="13">
        <f t="shared" si="21"/>
        <v>5162.0059438104745</v>
      </c>
      <c r="E563" s="13">
        <f t="shared" si="19"/>
        <v>5285.8940864619262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2.75" customHeight="1" x14ac:dyDescent="0.2">
      <c r="A564" s="64">
        <v>680036</v>
      </c>
      <c r="B564" s="22" t="s">
        <v>412</v>
      </c>
      <c r="C564" s="13">
        <v>39242.130445452887</v>
      </c>
      <c r="D564" s="13">
        <f t="shared" si="21"/>
        <v>40223.183706589203</v>
      </c>
      <c r="E564" s="13">
        <f t="shared" si="19"/>
        <v>41188.540115547345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2.75" customHeight="1" x14ac:dyDescent="0.2">
      <c r="A565" s="64">
        <v>680134</v>
      </c>
      <c r="B565" s="22" t="s">
        <v>413</v>
      </c>
      <c r="C565" s="13">
        <v>307326.59562745219</v>
      </c>
      <c r="D565" s="13">
        <f t="shared" si="21"/>
        <v>315009.76051813847</v>
      </c>
      <c r="E565" s="13">
        <f t="shared" si="19"/>
        <v>322569.9947705738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2.75" customHeight="1" x14ac:dyDescent="0.2">
      <c r="A566" s="64">
        <v>689588</v>
      </c>
      <c r="B566" s="22" t="s">
        <v>414</v>
      </c>
      <c r="C566" s="13">
        <v>71314.701154810289</v>
      </c>
      <c r="D566" s="13">
        <f t="shared" si="21"/>
        <v>73097.56868368054</v>
      </c>
      <c r="E566" s="13">
        <f t="shared" si="19"/>
        <v>74851.910332088868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2.75" customHeight="1" x14ac:dyDescent="0.2">
      <c r="A567" s="64">
        <v>689129</v>
      </c>
      <c r="B567" s="22" t="s">
        <v>415</v>
      </c>
      <c r="C567" s="13">
        <v>64677.269205463235</v>
      </c>
      <c r="D567" s="13">
        <f t="shared" si="21"/>
        <v>66294.200935599816</v>
      </c>
      <c r="E567" s="13">
        <f t="shared" si="19"/>
        <v>67885.261758054214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2.75" customHeight="1" x14ac:dyDescent="0.2">
      <c r="A568" s="64">
        <v>689964</v>
      </c>
      <c r="B568" s="22" t="s">
        <v>416</v>
      </c>
      <c r="C568" s="13">
        <v>83993.020392127873</v>
      </c>
      <c r="D568" s="13">
        <f t="shared" si="21"/>
        <v>86092.845901931069</v>
      </c>
      <c r="E568" s="13">
        <f t="shared" si="19"/>
        <v>88159.074203577416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2.75" customHeight="1" x14ac:dyDescent="0.2">
      <c r="A569" s="64">
        <v>680126</v>
      </c>
      <c r="B569" s="22" t="s">
        <v>417</v>
      </c>
      <c r="C569" s="13">
        <v>337546.4499905238</v>
      </c>
      <c r="D569" s="13">
        <f t="shared" si="21"/>
        <v>345985.11124028685</v>
      </c>
      <c r="E569" s="13">
        <f t="shared" si="19"/>
        <v>354288.75391005375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2.75" customHeight="1" x14ac:dyDescent="0.2">
      <c r="A570" s="64">
        <v>689131</v>
      </c>
      <c r="B570" s="22" t="s">
        <v>418</v>
      </c>
      <c r="C570" s="13">
        <v>34396.268523323197</v>
      </c>
      <c r="D570" s="13">
        <f t="shared" si="21"/>
        <v>35256.17523640627</v>
      </c>
      <c r="E570" s="13">
        <f t="shared" si="19"/>
        <v>36102.323442080022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2.75" customHeight="1" x14ac:dyDescent="0.2">
      <c r="A571" s="64">
        <v>689132</v>
      </c>
      <c r="B571" s="22" t="s">
        <v>419</v>
      </c>
      <c r="C571" s="13">
        <v>34396.268523323197</v>
      </c>
      <c r="D571" s="13">
        <f t="shared" si="21"/>
        <v>35256.17523640627</v>
      </c>
      <c r="E571" s="13">
        <f t="shared" si="19"/>
        <v>36102.323442080022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2.75" customHeight="1" x14ac:dyDescent="0.2">
      <c r="A572" s="64">
        <v>689072</v>
      </c>
      <c r="B572" s="22" t="s">
        <v>420</v>
      </c>
      <c r="C572" s="13">
        <v>45425.709082345704</v>
      </c>
      <c r="D572" s="13">
        <f t="shared" si="21"/>
        <v>46561.351809404339</v>
      </c>
      <c r="E572" s="13">
        <f t="shared" si="19"/>
        <v>47678.824252830047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2.75" customHeight="1" x14ac:dyDescent="0.2">
      <c r="A573" s="64">
        <v>689809</v>
      </c>
      <c r="B573" s="22" t="s">
        <v>421</v>
      </c>
      <c r="C573" s="13">
        <v>34379.067940438865</v>
      </c>
      <c r="D573" s="13">
        <f t="shared" si="21"/>
        <v>35238.544638949832</v>
      </c>
      <c r="E573" s="13">
        <f t="shared" si="19"/>
        <v>36084.269710284629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2.75" customHeight="1" x14ac:dyDescent="0.2">
      <c r="A574" s="64">
        <v>689630</v>
      </c>
      <c r="B574" s="22" t="s">
        <v>422</v>
      </c>
      <c r="C574" s="13">
        <v>1839.1972080472456</v>
      </c>
      <c r="D574" s="13">
        <f t="shared" si="21"/>
        <v>1885.1771382484264</v>
      </c>
      <c r="E574" s="13">
        <f t="shared" si="19"/>
        <v>1930.4213895663888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2.75" customHeight="1" x14ac:dyDescent="0.2">
      <c r="A575" s="64">
        <v>689971</v>
      </c>
      <c r="B575" s="22" t="s">
        <v>423</v>
      </c>
      <c r="C575" s="13">
        <v>667127.55893830187</v>
      </c>
      <c r="D575" s="13">
        <f t="shared" si="21"/>
        <v>683805.7479117593</v>
      </c>
      <c r="E575" s="13">
        <f t="shared" si="19"/>
        <v>700217.08586164156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2.75" customHeight="1" x14ac:dyDescent="0.2">
      <c r="A576" s="64">
        <v>689992</v>
      </c>
      <c r="B576" s="22" t="s">
        <v>424</v>
      </c>
      <c r="C576" s="13">
        <v>105754.26715018709</v>
      </c>
      <c r="D576" s="13">
        <f t="shared" si="21"/>
        <v>108398.12382894177</v>
      </c>
      <c r="E576" s="13">
        <f t="shared" si="19"/>
        <v>110999.67880083637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2.75" customHeight="1" x14ac:dyDescent="0.2">
      <c r="A577" s="64">
        <v>689312</v>
      </c>
      <c r="B577" s="22" t="s">
        <v>425</v>
      </c>
      <c r="C577" s="13">
        <v>55214.031734342592</v>
      </c>
      <c r="D577" s="13">
        <f t="shared" si="21"/>
        <v>56594.382527701149</v>
      </c>
      <c r="E577" s="13">
        <f t="shared" si="19"/>
        <v>57952.647708365977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2.75" customHeight="1" x14ac:dyDescent="0.2">
      <c r="A578" s="64">
        <v>680124</v>
      </c>
      <c r="B578" s="22" t="s">
        <v>426</v>
      </c>
      <c r="C578" s="13">
        <v>448400.36703095265</v>
      </c>
      <c r="D578" s="13">
        <f t="shared" si="21"/>
        <v>459610.37620672642</v>
      </c>
      <c r="E578" s="13">
        <f t="shared" si="19"/>
        <v>470641.02523568785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2.75" customHeight="1" x14ac:dyDescent="0.2">
      <c r="A579" s="64">
        <v>689784</v>
      </c>
      <c r="B579" s="22" t="s">
        <v>427</v>
      </c>
      <c r="C579" s="13">
        <v>47019.348089050865</v>
      </c>
      <c r="D579" s="13">
        <f t="shared" si="21"/>
        <v>48194.831791277131</v>
      </c>
      <c r="E579" s="13">
        <f t="shared" si="19"/>
        <v>49351.507754267783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2.75" customHeight="1" x14ac:dyDescent="0.2">
      <c r="A580" s="64">
        <v>680147</v>
      </c>
      <c r="B580" s="22" t="s">
        <v>428</v>
      </c>
      <c r="C580" s="13">
        <v>686797.37113000441</v>
      </c>
      <c r="D580" s="13">
        <f t="shared" si="21"/>
        <v>703967.3054082545</v>
      </c>
      <c r="E580" s="13">
        <f t="shared" si="19"/>
        <v>720862.52073805267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2.75" customHeight="1" x14ac:dyDescent="0.2">
      <c r="A581" s="64">
        <v>689317</v>
      </c>
      <c r="B581" s="22" t="s">
        <v>429</v>
      </c>
      <c r="C581" s="13">
        <v>414155.28799385094</v>
      </c>
      <c r="D581" s="13">
        <f t="shared" si="21"/>
        <v>424509.17019369715</v>
      </c>
      <c r="E581" s="13">
        <f t="shared" si="19"/>
        <v>434697.39027834591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2.75" customHeight="1" x14ac:dyDescent="0.2">
      <c r="A582" s="64">
        <v>689426</v>
      </c>
      <c r="B582" s="22" t="s">
        <v>430</v>
      </c>
      <c r="C582" s="13">
        <v>3922.2385977304266</v>
      </c>
      <c r="D582" s="13">
        <f t="shared" si="21"/>
        <v>4020.2945626736869</v>
      </c>
      <c r="E582" s="13">
        <f t="shared" si="19"/>
        <v>4116.7816321778555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2.75" customHeight="1" x14ac:dyDescent="0.2">
      <c r="A583" s="64">
        <v>689316</v>
      </c>
      <c r="B583" s="22" t="s">
        <v>431</v>
      </c>
      <c r="C583" s="13">
        <v>169346.78228564258</v>
      </c>
      <c r="D583" s="13">
        <f t="shared" si="21"/>
        <v>173580.45184278363</v>
      </c>
      <c r="E583" s="13">
        <f t="shared" si="19"/>
        <v>177746.38268701045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2.75" customHeight="1" x14ac:dyDescent="0.2">
      <c r="A584" s="64">
        <v>689810</v>
      </c>
      <c r="B584" s="22" t="s">
        <v>432</v>
      </c>
      <c r="C584" s="13">
        <v>25110.965202505322</v>
      </c>
      <c r="D584" s="13">
        <f t="shared" si="21"/>
        <v>25738.739332567951</v>
      </c>
      <c r="E584" s="13">
        <f t="shared" si="19"/>
        <v>26356.469076549583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2.75" customHeight="1" x14ac:dyDescent="0.2">
      <c r="A585" s="64">
        <v>689249</v>
      </c>
      <c r="B585" s="22" t="s">
        <v>433</v>
      </c>
      <c r="C585" s="13">
        <v>52522.049088118896</v>
      </c>
      <c r="D585" s="13">
        <f t="shared" si="21"/>
        <v>53835.100315321863</v>
      </c>
      <c r="E585" s="13">
        <f t="shared" si="19"/>
        <v>55127.142722889592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2.75" customHeight="1" x14ac:dyDescent="0.2">
      <c r="A586" s="64">
        <v>680122</v>
      </c>
      <c r="B586" s="22" t="s">
        <v>434</v>
      </c>
      <c r="C586" s="13">
        <v>819452.37719732302</v>
      </c>
      <c r="D586" s="13">
        <f t="shared" si="21"/>
        <v>839938.68662725599</v>
      </c>
      <c r="E586" s="13">
        <f t="shared" si="19"/>
        <v>860097.21510631009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2.75" customHeight="1" x14ac:dyDescent="0.2">
      <c r="A587" s="64">
        <v>680047</v>
      </c>
      <c r="B587" s="22" t="s">
        <v>435</v>
      </c>
      <c r="C587" s="58" t="s">
        <v>436</v>
      </c>
      <c r="D587" s="58" t="str">
        <f t="shared" si="21"/>
        <v>Por presupuesto</v>
      </c>
      <c r="E587" s="58" t="str">
        <f t="shared" si="19"/>
        <v>Por presupuesto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2.75" customHeight="1" x14ac:dyDescent="0.2">
      <c r="A588" s="64">
        <v>680141</v>
      </c>
      <c r="B588" s="22" t="s">
        <v>437</v>
      </c>
      <c r="C588" s="13">
        <v>11520.897164740451</v>
      </c>
      <c r="D588" s="13">
        <f t="shared" si="21"/>
        <v>11808.91959385896</v>
      </c>
      <c r="E588" s="13">
        <f t="shared" si="19"/>
        <v>12092.333664111575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2.75" customHeight="1" x14ac:dyDescent="0.2">
      <c r="A589" s="64">
        <v>680140</v>
      </c>
      <c r="B589" s="22" t="s">
        <v>438</v>
      </c>
      <c r="C589" s="13">
        <v>224609.12076547398</v>
      </c>
      <c r="D589" s="13">
        <f t="shared" si="21"/>
        <v>230224.3487846108</v>
      </c>
      <c r="E589" s="13">
        <f t="shared" si="19"/>
        <v>235749.73315544147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2.75" customHeight="1" x14ac:dyDescent="0.2">
      <c r="A590" s="64">
        <v>689692</v>
      </c>
      <c r="B590" s="22" t="s">
        <v>439</v>
      </c>
      <c r="C590" s="13">
        <v>18906.678904379118</v>
      </c>
      <c r="D590" s="13">
        <f t="shared" si="21"/>
        <v>19379.345876988595</v>
      </c>
      <c r="E590" s="13">
        <f t="shared" si="19"/>
        <v>19844.450178036321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2.75" customHeight="1" x14ac:dyDescent="0.2">
      <c r="A591" s="64">
        <v>680051</v>
      </c>
      <c r="B591" s="22" t="s">
        <v>440</v>
      </c>
      <c r="C591" s="13">
        <v>160995.59562906474</v>
      </c>
      <c r="D591" s="13">
        <f t="shared" si="21"/>
        <v>165020.48551979134</v>
      </c>
      <c r="E591" s="13">
        <f t="shared" si="19"/>
        <v>168980.97717226634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2.75" customHeight="1" x14ac:dyDescent="0.2">
      <c r="A592" s="64">
        <v>680135</v>
      </c>
      <c r="B592" s="22" t="s">
        <v>441</v>
      </c>
      <c r="C592" s="58" t="s">
        <v>436</v>
      </c>
      <c r="D592" s="58" t="str">
        <f t="shared" si="21"/>
        <v>Por presupuesto</v>
      </c>
      <c r="E592" s="58" t="str">
        <f t="shared" si="19"/>
        <v>Por presupuesto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2.75" customHeight="1" x14ac:dyDescent="0.2">
      <c r="A593" s="64">
        <v>680149</v>
      </c>
      <c r="B593" s="22" t="s">
        <v>442</v>
      </c>
      <c r="C593" s="13">
        <v>101991.03744528683</v>
      </c>
      <c r="D593" s="13">
        <f t="shared" si="21"/>
        <v>104540.81338141899</v>
      </c>
      <c r="E593" s="13">
        <f t="shared" si="19"/>
        <v>107049.79290257306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2.75" customHeight="1" x14ac:dyDescent="0.2">
      <c r="A594" s="64">
        <v>689235</v>
      </c>
      <c r="B594" s="22" t="s">
        <v>443</v>
      </c>
      <c r="C594" s="13">
        <v>150762.83544268805</v>
      </c>
      <c r="D594" s="13">
        <f t="shared" si="21"/>
        <v>154531.90632875526</v>
      </c>
      <c r="E594" s="13">
        <f t="shared" si="19"/>
        <v>158240.6720806454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2.75" customHeight="1" x14ac:dyDescent="0.2">
      <c r="A595" s="64">
        <v>680133</v>
      </c>
      <c r="B595" s="22" t="s">
        <v>444</v>
      </c>
      <c r="C595" s="13">
        <v>51103.027520365831</v>
      </c>
      <c r="D595" s="13">
        <f t="shared" si="21"/>
        <v>52380.603208374974</v>
      </c>
      <c r="E595" s="13">
        <f t="shared" si="19"/>
        <v>53637.737685375978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2.75" customHeight="1" x14ac:dyDescent="0.2">
      <c r="A596" s="64">
        <v>689845</v>
      </c>
      <c r="B596" s="22" t="s">
        <v>445</v>
      </c>
      <c r="C596" s="13">
        <v>15453.555522158604</v>
      </c>
      <c r="D596" s="13">
        <f t="shared" si="21"/>
        <v>15839.894410212568</v>
      </c>
      <c r="E596" s="13">
        <f t="shared" si="19"/>
        <v>16220.051876057671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2.75" customHeight="1" x14ac:dyDescent="0.2">
      <c r="A597" s="64">
        <v>689006</v>
      </c>
      <c r="B597" s="22" t="s">
        <v>446</v>
      </c>
      <c r="C597" s="13">
        <v>5542.8364205405733</v>
      </c>
      <c r="D597" s="13">
        <f t="shared" si="21"/>
        <v>5681.4073310540871</v>
      </c>
      <c r="E597" s="13">
        <f t="shared" si="19"/>
        <v>5817.7611069993854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2.75" customHeight="1" x14ac:dyDescent="0.2">
      <c r="A598" s="64">
        <v>689970</v>
      </c>
      <c r="B598" s="22" t="s">
        <v>447</v>
      </c>
      <c r="C598" s="13">
        <v>227107.25410665604</v>
      </c>
      <c r="D598" s="13">
        <f t="shared" si="21"/>
        <v>232784.93545932241</v>
      </c>
      <c r="E598" s="13">
        <f t="shared" si="19"/>
        <v>238371.77391034615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2.75" customHeight="1" x14ac:dyDescent="0.2">
      <c r="A599" s="64">
        <v>689906</v>
      </c>
      <c r="B599" s="22" t="s">
        <v>448</v>
      </c>
      <c r="C599" s="13">
        <v>42338.469846833359</v>
      </c>
      <c r="D599" s="13">
        <f t="shared" si="21"/>
        <v>43396.931593004192</v>
      </c>
      <c r="E599" s="13">
        <f t="shared" si="19"/>
        <v>44438.457951236291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2.75" customHeight="1" x14ac:dyDescent="0.2">
      <c r="A600" s="64">
        <v>689958</v>
      </c>
      <c r="B600" s="22" t="s">
        <v>449</v>
      </c>
      <c r="C600" s="13">
        <v>2129.1305072499003</v>
      </c>
      <c r="D600" s="13">
        <f t="shared" si="21"/>
        <v>2182.3587699311479</v>
      </c>
      <c r="E600" s="13">
        <f t="shared" si="19"/>
        <v>2234.7353804094955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2.75" customHeight="1" x14ac:dyDescent="0.2">
      <c r="A601" s="64">
        <v>689082</v>
      </c>
      <c r="B601" s="22" t="s">
        <v>450</v>
      </c>
      <c r="C601" s="13">
        <v>47459.738426938449</v>
      </c>
      <c r="D601" s="13">
        <f t="shared" si="21"/>
        <v>48646.23188761191</v>
      </c>
      <c r="E601" s="13">
        <f t="shared" si="19"/>
        <v>49813.741452914597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2.75" customHeight="1" x14ac:dyDescent="0.2">
      <c r="A602" s="64">
        <v>689391</v>
      </c>
      <c r="B602" s="22" t="s">
        <v>451</v>
      </c>
      <c r="C602" s="13">
        <v>25110.965202505322</v>
      </c>
      <c r="D602" s="13">
        <f t="shared" si="21"/>
        <v>25738.739332567951</v>
      </c>
      <c r="E602" s="13">
        <f t="shared" si="19"/>
        <v>26356.469076549583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2.75" customHeight="1" x14ac:dyDescent="0.2">
      <c r="A603" s="64">
        <v>680137</v>
      </c>
      <c r="B603" s="22" t="s">
        <v>452</v>
      </c>
      <c r="C603" s="13">
        <v>254241.89545055549</v>
      </c>
      <c r="D603" s="13">
        <f t="shared" si="21"/>
        <v>260597.94283681936</v>
      </c>
      <c r="E603" s="13">
        <f t="shared" si="19"/>
        <v>266852.29346490302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2.75" customHeight="1" x14ac:dyDescent="0.2">
      <c r="A604" s="64">
        <v>689863</v>
      </c>
      <c r="B604" s="22" t="s">
        <v>453</v>
      </c>
      <c r="C604" s="13">
        <v>63176.819736716076</v>
      </c>
      <c r="D604" s="13">
        <f t="shared" si="21"/>
        <v>64756.240230133975</v>
      </c>
      <c r="E604" s="13">
        <f t="shared" si="19"/>
        <v>66310.389995657199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2.75" customHeight="1" x14ac:dyDescent="0.2">
      <c r="A605" s="64">
        <v>680614</v>
      </c>
      <c r="B605" s="22" t="s">
        <v>454</v>
      </c>
      <c r="C605" s="13">
        <v>885.53939646719232</v>
      </c>
      <c r="D605" s="13">
        <f t="shared" si="21"/>
        <v>907.67788137887203</v>
      </c>
      <c r="E605" s="13">
        <f t="shared" si="19"/>
        <v>929.46215053196499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2.75" customHeight="1" x14ac:dyDescent="0.2">
      <c r="A606" s="64">
        <v>689675</v>
      </c>
      <c r="B606" s="22" t="s">
        <v>455</v>
      </c>
      <c r="C606" s="13">
        <v>183061.22159300826</v>
      </c>
      <c r="D606" s="13">
        <f t="shared" si="21"/>
        <v>187637.75213283344</v>
      </c>
      <c r="E606" s="13">
        <f t="shared" ref="E606:E643" si="22">IFERROR(D606*(1+$E$12),D606)</f>
        <v>192141.05818402144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2.75" customHeight="1" x14ac:dyDescent="0.2">
      <c r="A607" s="64">
        <v>689785</v>
      </c>
      <c r="B607" s="22" t="s">
        <v>456</v>
      </c>
      <c r="C607" s="13">
        <v>58298.165323714165</v>
      </c>
      <c r="D607" s="13">
        <f t="shared" si="21"/>
        <v>59755.619456807013</v>
      </c>
      <c r="E607" s="13">
        <f t="shared" si="22"/>
        <v>61189.754323770379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2.75" customHeight="1" x14ac:dyDescent="0.2">
      <c r="A608" s="64">
        <v>689911</v>
      </c>
      <c r="B608" s="22" t="s">
        <v>457</v>
      </c>
      <c r="C608" s="13">
        <v>14747.777313550978</v>
      </c>
      <c r="D608" s="13">
        <f t="shared" si="21"/>
        <v>15116.47174638975</v>
      </c>
      <c r="E608" s="13">
        <f t="shared" si="22"/>
        <v>15479.267068303105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2.75" customHeight="1" x14ac:dyDescent="0.2">
      <c r="A609" s="64">
        <v>680090</v>
      </c>
      <c r="B609" s="22" t="s">
        <v>458</v>
      </c>
      <c r="C609" s="13">
        <v>133930.81452537482</v>
      </c>
      <c r="D609" s="13">
        <f t="shared" si="21"/>
        <v>137279.08488850918</v>
      </c>
      <c r="E609" s="13">
        <f t="shared" si="22"/>
        <v>140573.78292583339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2.75" customHeight="1" x14ac:dyDescent="0.2">
      <c r="A610" s="64">
        <v>680152</v>
      </c>
      <c r="B610" s="22" t="s">
        <v>459</v>
      </c>
      <c r="C610" s="13">
        <v>484233.08134577196</v>
      </c>
      <c r="D610" s="13">
        <f t="shared" si="21"/>
        <v>496338.90837941621</v>
      </c>
      <c r="E610" s="13">
        <f t="shared" si="22"/>
        <v>508251.04218052223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2.75" customHeight="1" x14ac:dyDescent="0.2">
      <c r="A611" s="64">
        <v>680143</v>
      </c>
      <c r="B611" s="22" t="s">
        <v>460</v>
      </c>
      <c r="C611" s="58" t="s">
        <v>436</v>
      </c>
      <c r="D611" s="58" t="str">
        <f t="shared" si="21"/>
        <v>Por presupuesto</v>
      </c>
      <c r="E611" s="58" t="str">
        <f t="shared" si="22"/>
        <v>Por presupuesto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2.75" customHeight="1" x14ac:dyDescent="0.2">
      <c r="A612" s="64">
        <v>680161</v>
      </c>
      <c r="B612" s="22" t="s">
        <v>461</v>
      </c>
      <c r="C612" s="13">
        <v>154009.94553175246</v>
      </c>
      <c r="D612" s="13">
        <f t="shared" si="21"/>
        <v>157860.19417004625</v>
      </c>
      <c r="E612" s="13">
        <f t="shared" si="22"/>
        <v>161648.83883012735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2.75" customHeight="1" x14ac:dyDescent="0.2">
      <c r="A613" s="64">
        <v>680119</v>
      </c>
      <c r="B613" s="22" t="s">
        <v>462</v>
      </c>
      <c r="C613" s="13">
        <v>20707.957580367925</v>
      </c>
      <c r="D613" s="13">
        <f t="shared" ref="D613:D643" si="23">IFERROR(C613*(1+$D$12),C613)</f>
        <v>21225.65651987712</v>
      </c>
      <c r="E613" s="13">
        <f t="shared" si="22"/>
        <v>21735.072276354171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2.75" customHeight="1" x14ac:dyDescent="0.2">
      <c r="A614" s="64">
        <v>689248</v>
      </c>
      <c r="B614" s="22" t="s">
        <v>463</v>
      </c>
      <c r="C614" s="13">
        <v>10348.993685572681</v>
      </c>
      <c r="D614" s="13">
        <f t="shared" si="23"/>
        <v>10607.718527711997</v>
      </c>
      <c r="E614" s="13">
        <f t="shared" si="22"/>
        <v>10862.303772377085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2.75" customHeight="1" x14ac:dyDescent="0.2">
      <c r="A615" s="64">
        <v>680146</v>
      </c>
      <c r="B615" s="22" t="s">
        <v>464</v>
      </c>
      <c r="C615" s="13">
        <v>301827.25629216334</v>
      </c>
      <c r="D615" s="13">
        <f t="shared" si="23"/>
        <v>309372.93769946741</v>
      </c>
      <c r="E615" s="13">
        <f t="shared" si="22"/>
        <v>316797.88820425462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2.75" customHeight="1" x14ac:dyDescent="0.2">
      <c r="A616" s="64">
        <v>689042</v>
      </c>
      <c r="B616" s="22" t="s">
        <v>465</v>
      </c>
      <c r="C616" s="13">
        <v>184299.41853594806</v>
      </c>
      <c r="D616" s="13">
        <f t="shared" si="23"/>
        <v>188906.90399934674</v>
      </c>
      <c r="E616" s="13">
        <f t="shared" si="22"/>
        <v>193440.66969533107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2.75" customHeight="1" x14ac:dyDescent="0.2">
      <c r="A617" s="64">
        <v>680120</v>
      </c>
      <c r="B617" s="22" t="s">
        <v>466</v>
      </c>
      <c r="C617" s="13">
        <v>72186.040717800613</v>
      </c>
      <c r="D617" s="13">
        <f t="shared" si="23"/>
        <v>73990.691735745626</v>
      </c>
      <c r="E617" s="13">
        <f t="shared" si="22"/>
        <v>75766.468337403523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2.75" customHeight="1" x14ac:dyDescent="0.2">
      <c r="A618" s="64">
        <v>689879</v>
      </c>
      <c r="B618" s="22" t="s">
        <v>467</v>
      </c>
      <c r="C618" s="13">
        <v>30604.912853823218</v>
      </c>
      <c r="D618" s="13">
        <f t="shared" si="23"/>
        <v>31370.035675168794</v>
      </c>
      <c r="E618" s="13">
        <f t="shared" si="22"/>
        <v>32122.916531372844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2.75" customHeight="1" x14ac:dyDescent="0.2">
      <c r="A619" s="64">
        <v>680145</v>
      </c>
      <c r="B619" s="22" t="s">
        <v>468</v>
      </c>
      <c r="C619" s="13">
        <v>82965.267937242534</v>
      </c>
      <c r="D619" s="13">
        <f t="shared" si="23"/>
        <v>85039.399635673588</v>
      </c>
      <c r="E619" s="13">
        <f t="shared" si="22"/>
        <v>87080.345226929756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2.75" customHeight="1" x14ac:dyDescent="0.2">
      <c r="A620" s="64">
        <v>689023</v>
      </c>
      <c r="B620" s="22" t="s">
        <v>469</v>
      </c>
      <c r="C620" s="13">
        <v>150892.89846913863</v>
      </c>
      <c r="D620" s="13">
        <f t="shared" si="23"/>
        <v>154665.22093086707</v>
      </c>
      <c r="E620" s="13">
        <f t="shared" si="22"/>
        <v>158377.18623320787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2.75" customHeight="1" x14ac:dyDescent="0.2">
      <c r="A621" s="64">
        <v>680148</v>
      </c>
      <c r="B621" s="22" t="s">
        <v>470</v>
      </c>
      <c r="C621" s="13">
        <v>446581.14451391425</v>
      </c>
      <c r="D621" s="13">
        <f t="shared" si="23"/>
        <v>457745.67312676203</v>
      </c>
      <c r="E621" s="13">
        <f t="shared" si="22"/>
        <v>468731.56928180432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2.75" customHeight="1" x14ac:dyDescent="0.2">
      <c r="A622" s="64">
        <v>689513</v>
      </c>
      <c r="B622" s="22" t="s">
        <v>471</v>
      </c>
      <c r="C622" s="13">
        <v>414155.28799385094</v>
      </c>
      <c r="D622" s="13">
        <f t="shared" si="23"/>
        <v>424509.17019369715</v>
      </c>
      <c r="E622" s="13">
        <f t="shared" si="22"/>
        <v>434697.39027834591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2.75" customHeight="1" x14ac:dyDescent="0.2">
      <c r="A623" s="64">
        <v>680035</v>
      </c>
      <c r="B623" s="22" t="s">
        <v>472</v>
      </c>
      <c r="C623" s="13">
        <v>31275.052842463785</v>
      </c>
      <c r="D623" s="13">
        <f t="shared" si="23"/>
        <v>32056.929163525376</v>
      </c>
      <c r="E623" s="13">
        <f t="shared" si="22"/>
        <v>32826.295463449984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2.75" customHeight="1" x14ac:dyDescent="0.2">
      <c r="A624" s="64">
        <v>689566</v>
      </c>
      <c r="B624" s="22" t="s">
        <v>473</v>
      </c>
      <c r="C624" s="13">
        <v>221118.86907850733</v>
      </c>
      <c r="D624" s="13">
        <f t="shared" si="23"/>
        <v>226646.84080546998</v>
      </c>
      <c r="E624" s="13">
        <f t="shared" si="22"/>
        <v>232086.36498480127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2.75" customHeight="1" x14ac:dyDescent="0.2">
      <c r="A625" s="64">
        <v>689589</v>
      </c>
      <c r="B625" s="22" t="s">
        <v>474</v>
      </c>
      <c r="C625" s="58" t="s">
        <v>436</v>
      </c>
      <c r="D625" s="58" t="str">
        <f t="shared" si="23"/>
        <v>Por presupuesto</v>
      </c>
      <c r="E625" s="58" t="str">
        <f t="shared" si="22"/>
        <v>Por presupuesto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2.75" customHeight="1" x14ac:dyDescent="0.2">
      <c r="A626" s="64">
        <v>680153</v>
      </c>
      <c r="B626" s="22" t="s">
        <v>475</v>
      </c>
      <c r="C626" s="13">
        <v>446581.14451391425</v>
      </c>
      <c r="D626" s="13">
        <f t="shared" si="23"/>
        <v>457745.67312676203</v>
      </c>
      <c r="E626" s="13">
        <f t="shared" si="22"/>
        <v>468731.56928180432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2.75" customHeight="1" x14ac:dyDescent="0.2">
      <c r="A627" s="64">
        <v>689801</v>
      </c>
      <c r="B627" s="22" t="s">
        <v>476</v>
      </c>
      <c r="C627" s="13">
        <v>9168.3437848280955</v>
      </c>
      <c r="D627" s="13">
        <f t="shared" si="23"/>
        <v>9397.5523794487963</v>
      </c>
      <c r="E627" s="13">
        <f t="shared" si="22"/>
        <v>9623.0936365555681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2.75" customHeight="1" x14ac:dyDescent="0.2">
      <c r="A628" s="64">
        <v>680156</v>
      </c>
      <c r="B628" s="22" t="s">
        <v>477</v>
      </c>
      <c r="C628" s="13">
        <v>268150.09542049991</v>
      </c>
      <c r="D628" s="13">
        <f t="shared" si="23"/>
        <v>274853.84780601237</v>
      </c>
      <c r="E628" s="13">
        <f t="shared" si="22"/>
        <v>281450.34015335666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2.75" customHeight="1" x14ac:dyDescent="0.2">
      <c r="A629" s="64">
        <v>680157</v>
      </c>
      <c r="B629" s="22" t="s">
        <v>478</v>
      </c>
      <c r="C629" s="13">
        <v>216966.57260131056</v>
      </c>
      <c r="D629" s="13">
        <f t="shared" si="23"/>
        <v>222390.7369163433</v>
      </c>
      <c r="E629" s="13">
        <f t="shared" si="22"/>
        <v>227728.11460233555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2.75" customHeight="1" x14ac:dyDescent="0.2">
      <c r="A630" s="64">
        <v>680154</v>
      </c>
      <c r="B630" s="22" t="s">
        <v>479</v>
      </c>
      <c r="C630" s="13">
        <v>414155.28799385094</v>
      </c>
      <c r="D630" s="13">
        <f t="shared" si="23"/>
        <v>424509.17019369715</v>
      </c>
      <c r="E630" s="13">
        <f t="shared" si="22"/>
        <v>434697.39027834591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2.75" customHeight="1" x14ac:dyDescent="0.2">
      <c r="A631" s="64">
        <v>680018</v>
      </c>
      <c r="B631" s="22" t="s">
        <v>480</v>
      </c>
      <c r="C631" s="13">
        <v>211520.5412095486</v>
      </c>
      <c r="D631" s="13">
        <f t="shared" si="23"/>
        <v>216808.5547397873</v>
      </c>
      <c r="E631" s="13">
        <f t="shared" si="22"/>
        <v>222011.96005354219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2.75" customHeight="1" x14ac:dyDescent="0.2">
      <c r="A632" s="64">
        <v>680017</v>
      </c>
      <c r="B632" s="22" t="s">
        <v>481</v>
      </c>
      <c r="C632" s="13">
        <v>165431.98805373121</v>
      </c>
      <c r="D632" s="13">
        <f t="shared" si="23"/>
        <v>169567.78775507447</v>
      </c>
      <c r="E632" s="13">
        <f t="shared" si="22"/>
        <v>173637.41466119626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2.75" customHeight="1" x14ac:dyDescent="0.2">
      <c r="A633" s="64">
        <v>680027</v>
      </c>
      <c r="B633" s="22" t="s">
        <v>482</v>
      </c>
      <c r="C633" s="13">
        <v>506258.47890591843</v>
      </c>
      <c r="D633" s="13">
        <f t="shared" si="23"/>
        <v>518914.94087856635</v>
      </c>
      <c r="E633" s="13">
        <f t="shared" si="22"/>
        <v>531368.8994596519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2.75" customHeight="1" x14ac:dyDescent="0.2">
      <c r="A634" s="64">
        <v>680012</v>
      </c>
      <c r="B634" s="22" t="s">
        <v>483</v>
      </c>
      <c r="C634" s="13">
        <v>182607.00708479492</v>
      </c>
      <c r="D634" s="13">
        <f t="shared" si="23"/>
        <v>187172.18226191477</v>
      </c>
      <c r="E634" s="13">
        <f t="shared" si="22"/>
        <v>191664.31463620072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2.75" customHeight="1" x14ac:dyDescent="0.2">
      <c r="A635" s="64">
        <v>680117</v>
      </c>
      <c r="B635" s="22" t="s">
        <v>484</v>
      </c>
      <c r="C635" s="13">
        <v>399374.51846490602</v>
      </c>
      <c r="D635" s="13">
        <f t="shared" si="23"/>
        <v>409358.88142652862</v>
      </c>
      <c r="E635" s="13">
        <f t="shared" si="22"/>
        <v>419183.49458076531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2.75" customHeight="1" x14ac:dyDescent="0.2">
      <c r="A636" s="64">
        <v>680934</v>
      </c>
      <c r="B636" s="22" t="s">
        <v>485</v>
      </c>
      <c r="C636" s="13">
        <v>2237.0064529505621</v>
      </c>
      <c r="D636" s="13">
        <f t="shared" si="23"/>
        <v>2292.931614274326</v>
      </c>
      <c r="E636" s="13">
        <f t="shared" si="22"/>
        <v>2347.9619730169097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2.75" customHeight="1" x14ac:dyDescent="0.2">
      <c r="A637" s="64">
        <v>680107</v>
      </c>
      <c r="B637" s="22" t="s">
        <v>486</v>
      </c>
      <c r="C637" s="58" t="s">
        <v>436</v>
      </c>
      <c r="D637" s="58" t="str">
        <f t="shared" si="23"/>
        <v>Por presupuesto</v>
      </c>
      <c r="E637" s="58" t="str">
        <f t="shared" si="22"/>
        <v>Por presupuesto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2.75" customHeight="1" x14ac:dyDescent="0.2">
      <c r="A638" s="64">
        <v>689967</v>
      </c>
      <c r="B638" s="22" t="s">
        <v>487</v>
      </c>
      <c r="C638" s="13">
        <v>155695.07413821429</v>
      </c>
      <c r="D638" s="13">
        <f t="shared" si="23"/>
        <v>159587.45099166964</v>
      </c>
      <c r="E638" s="13">
        <f t="shared" si="22"/>
        <v>163417.54981546971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2.75" customHeight="1" x14ac:dyDescent="0.2">
      <c r="A639" s="64">
        <v>680106</v>
      </c>
      <c r="B639" s="22" t="s">
        <v>488</v>
      </c>
      <c r="C639" s="13">
        <v>56094.698244230487</v>
      </c>
      <c r="D639" s="13">
        <f t="shared" si="23"/>
        <v>57497.065700336243</v>
      </c>
      <c r="E639" s="13">
        <f t="shared" si="22"/>
        <v>58876.995277144313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2.75" customHeight="1" x14ac:dyDescent="0.2">
      <c r="A640" s="64">
        <v>689285</v>
      </c>
      <c r="B640" s="22" t="s">
        <v>489</v>
      </c>
      <c r="C640" s="13">
        <v>31588.409868357892</v>
      </c>
      <c r="D640" s="13">
        <f t="shared" si="23"/>
        <v>32378.120115066838</v>
      </c>
      <c r="E640" s="13">
        <f t="shared" si="22"/>
        <v>33155.194997828447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2.75" customHeight="1" x14ac:dyDescent="0.2">
      <c r="A641" s="64">
        <v>689901</v>
      </c>
      <c r="B641" s="22" t="s">
        <v>490</v>
      </c>
      <c r="C641" s="13">
        <v>145657.66772631748</v>
      </c>
      <c r="D641" s="13">
        <f t="shared" si="23"/>
        <v>149299.1094194754</v>
      </c>
      <c r="E641" s="13">
        <f t="shared" si="22"/>
        <v>152882.28804554281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2.75" customHeight="1" x14ac:dyDescent="0.2">
      <c r="A642" s="64">
        <v>680159</v>
      </c>
      <c r="B642" s="22" t="s">
        <v>491</v>
      </c>
      <c r="C642" s="13">
        <v>64700.083057034564</v>
      </c>
      <c r="D642" s="13">
        <f t="shared" si="23"/>
        <v>66317.585133460423</v>
      </c>
      <c r="E642" s="13">
        <f t="shared" si="22"/>
        <v>67909.207176663476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2.75" customHeight="1" x14ac:dyDescent="0.2">
      <c r="A643" s="64">
        <v>680160</v>
      </c>
      <c r="B643" s="22" t="s">
        <v>492</v>
      </c>
      <c r="C643" s="13">
        <v>64700.083057034564</v>
      </c>
      <c r="D643" s="13">
        <f t="shared" si="23"/>
        <v>66317.585133460423</v>
      </c>
      <c r="E643" s="13">
        <f t="shared" si="22"/>
        <v>67909.207176663476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2.75" customHeight="1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2.75" customHeight="1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2.75" customHeight="1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2.75" customHeight="1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2.75" customHeight="1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2.75" customHeight="1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2.75" customHeight="1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2.75" customHeight="1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2.75" customHeight="1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2.75" customHeight="1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2.75" customHeight="1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2.75" customHeight="1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2.75" customHeight="1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2.75" customHeight="1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2.75" customHeight="1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2.75" customHeight="1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2.75" customHeight="1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2.75" customHeight="1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2.75" customHeight="1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2.75" customHeight="1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2.75" customHeight="1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2.75" customHeight="1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2.75" customHeight="1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2.75" customHeight="1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2.75" customHeight="1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2.75" customHeight="1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2.75" customHeight="1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2.75" customHeight="1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2.75" customHeight="1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2.75" customHeight="1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2.75" customHeight="1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2.75" customHeight="1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2.75" customHeight="1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2.75" customHeight="1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2.75" customHeight="1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2.75" customHeight="1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2.75" customHeight="1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2.75" customHeight="1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2.75" customHeight="1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2.75" customHeight="1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2.75" customHeight="1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2.75" customHeight="1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2.75" customHeight="1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2.75" customHeight="1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2.75" customHeight="1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2.75" customHeight="1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2.75" customHeight="1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2.75" customHeight="1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2.75" customHeight="1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2.75" customHeight="1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2.75" customHeight="1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2.75" customHeight="1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2.75" customHeight="1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2.75" customHeight="1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2.75" customHeight="1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2.75" customHeight="1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2.75" customHeight="1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2.75" customHeight="1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2.75" customHeight="1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2.75" customHeight="1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2.75" customHeight="1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2.75" customHeight="1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2.75" customHeight="1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2.75" customHeight="1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2.75" customHeight="1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2.75" customHeight="1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2.75" customHeight="1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2.75" customHeight="1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2.75" customHeight="1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2.75" customHeight="1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2.75" customHeight="1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2.75" customHeight="1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2.75" customHeight="1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2.75" customHeight="1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2.75" customHeight="1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2.75" customHeight="1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2.75" customHeight="1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2.75" customHeight="1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2.75" customHeight="1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2.75" customHeight="1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2.75" customHeight="1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2.75" customHeight="1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2.75" customHeight="1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2.75" customHeight="1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2.75" customHeight="1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2.75" customHeight="1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2.75" customHeight="1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2.75" customHeight="1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2.75" customHeight="1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2.75" customHeight="1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2.75" customHeight="1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2.75" customHeight="1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2.75" customHeight="1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2.75" customHeight="1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2.75" customHeight="1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2.75" customHeight="1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2.75" customHeight="1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2.75" customHeight="1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2.75" customHeight="1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2.75" customHeight="1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2.75" customHeight="1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2.75" customHeight="1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2.75" customHeight="1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2.75" customHeight="1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2.75" customHeight="1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2.75" customHeight="1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2.75" customHeight="1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2.75" customHeight="1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2.75" customHeight="1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2.75" customHeight="1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2.75" customHeight="1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2.75" customHeight="1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2.75" customHeight="1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2.75" customHeight="1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2.75" customHeight="1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2.75" customHeight="1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2.75" customHeight="1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2.75" customHeight="1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2.75" customHeight="1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2.75" customHeight="1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2.75" customHeight="1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2.75" customHeight="1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2.75" customHeight="1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2.75" customHeight="1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2.75" customHeight="1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2.75" customHeight="1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2.75" customHeight="1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2.75" customHeight="1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2.75" customHeight="1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2.75" customHeight="1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2.75" customHeight="1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2.75" customHeight="1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2.75" customHeight="1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2.75" customHeight="1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2.75" customHeight="1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2.75" customHeight="1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2.75" customHeight="1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2.75" customHeight="1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2.75" customHeight="1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2.75" customHeight="1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2.75" customHeight="1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2.75" customHeight="1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2.75" customHeight="1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2.75" customHeight="1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2.75" customHeight="1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2.75" customHeight="1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2.75" customHeight="1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2.75" customHeight="1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2.75" customHeight="1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2.75" customHeight="1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2.75" customHeight="1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2.75" customHeight="1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2.75" customHeight="1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2.75" customHeight="1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2.75" customHeight="1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2.75" customHeight="1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2.75" customHeight="1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2.75" customHeight="1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2.75" customHeight="1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2.75" customHeight="1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2.75" customHeight="1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2.75" customHeight="1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2.75" customHeight="1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2.75" customHeight="1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2.75" customHeight="1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2.75" customHeight="1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2.75" customHeight="1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2.75" customHeight="1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2.75" customHeight="1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2.75" customHeight="1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2.75" customHeight="1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2.75" customHeight="1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2.75" customHeight="1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2.75" customHeight="1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2.75" customHeight="1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2.75" customHeight="1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2.75" customHeight="1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2.75" customHeight="1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2.75" customHeight="1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2.75" customHeight="1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2.75" customHeight="1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2.75" customHeight="1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2.75" customHeight="1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2.75" customHeight="1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2.75" customHeight="1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2.75" customHeight="1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2.75" customHeight="1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2.75" customHeight="1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2.75" customHeight="1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2.75" customHeight="1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2.75" customHeight="1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2.75" customHeight="1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2.75" customHeight="1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2.75" customHeight="1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2.75" customHeight="1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2.75" customHeight="1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2.75" customHeight="1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2.75" customHeight="1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2.75" customHeight="1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2.75" customHeight="1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2.75" customHeight="1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2.75" customHeight="1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2.75" customHeight="1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2.75" customHeight="1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2.75" customHeight="1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2.75" customHeight="1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2.75" customHeight="1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2.75" customHeight="1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2.75" customHeight="1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2.75" customHeight="1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2.75" customHeight="1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2.75" customHeight="1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2.75" customHeight="1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2.75" customHeight="1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2.75" customHeight="1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2.75" customHeight="1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2.75" customHeight="1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2.75" customHeight="1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2.75" customHeight="1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2.75" customHeight="1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2.75" customHeight="1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2.75" customHeight="1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2.75" customHeight="1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2.75" customHeight="1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2.75" customHeight="1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2.75" customHeight="1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2.75" customHeight="1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2.75" customHeight="1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2.75" customHeight="1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2.75" customHeight="1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2.75" customHeight="1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2.75" customHeight="1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2.75" customHeight="1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2.75" customHeight="1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2.75" customHeight="1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2.75" customHeight="1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2.75" customHeight="1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2.75" customHeight="1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2.75" customHeight="1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2.75" customHeight="1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2.75" customHeight="1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2.75" customHeight="1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2.75" customHeight="1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2.75" customHeight="1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2.75" customHeight="1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2.75" customHeight="1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2.75" customHeight="1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2.75" customHeight="1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2.75" customHeight="1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2.75" customHeight="1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2.75" customHeight="1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2.75" customHeight="1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2.75" customHeight="1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2.75" customHeight="1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2.75" customHeight="1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2.75" customHeight="1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2.75" customHeight="1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2.75" customHeight="1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2.75" customHeight="1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2.75" customHeight="1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2.75" customHeight="1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2.75" customHeight="1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2.75" customHeight="1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2.75" customHeight="1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2.75" customHeight="1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2.75" customHeight="1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2.75" customHeight="1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2.75" customHeight="1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2.75" customHeight="1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2.75" customHeight="1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2.75" customHeight="1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2.75" customHeight="1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2.75" customHeight="1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2.75" customHeight="1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2.75" customHeight="1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2.75" customHeight="1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2.75" customHeight="1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2.75" customHeight="1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2.75" customHeight="1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2.75" customHeight="1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2.75" customHeight="1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2.75" customHeight="1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2.75" customHeight="1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2.75" customHeight="1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2.75" customHeight="1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2.75" customHeight="1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2.75" customHeight="1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2.75" customHeight="1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2.75" customHeight="1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2.75" customHeight="1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2.75" customHeight="1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2.75" customHeight="1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2.75" customHeight="1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2.75" customHeight="1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2.75" customHeight="1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2.75" customHeight="1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2.75" customHeight="1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2.75" customHeight="1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2.75" customHeight="1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2.75" customHeight="1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2.75" customHeight="1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2.75" customHeight="1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2.75" customHeight="1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2.75" customHeight="1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2.75" customHeight="1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2.75" customHeight="1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2.75" customHeight="1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2.75" customHeight="1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2.75" customHeight="1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2.75" customHeight="1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2.75" customHeight="1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2.75" customHeight="1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2.75" customHeight="1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2.75" customHeight="1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2.75" customHeight="1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2.75" customHeight="1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2.75" customHeight="1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2.75" customHeight="1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2.75" customHeight="1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2.75" customHeight="1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2.75" customHeight="1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2.75" customHeight="1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2.75" customHeight="1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2.75" customHeight="1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2.75" customHeight="1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2.75" customHeight="1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2.75" customHeight="1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2.75" customHeight="1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2.75" customHeight="1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2.75" customHeight="1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2.75" customHeight="1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2.75" customHeight="1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2.75" customHeight="1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2.75" customHeight="1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2.75" customHeight="1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2.75" customHeight="1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2.75" customHeight="1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2.75" customHeight="1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2.75" customHeight="1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2.75" customHeight="1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2.75" customHeight="1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2.75" customHeight="1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2.75" customHeight="1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2.75" customHeight="1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2.75" customHeight="1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2.75" customHeight="1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2.75" customHeight="1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2.75" customHeight="1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2.75" customHeight="1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2.75" customHeight="1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2.75" customHeight="1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2.75" customHeight="1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2.75" customHeight="1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2.75" customHeight="1" x14ac:dyDescent="0.2">
      <c r="A997" s="1"/>
      <c r="B997" s="2"/>
      <c r="C997" s="1"/>
      <c r="D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2.75" customHeight="1" x14ac:dyDescent="0.2">
      <c r="A998" s="1"/>
      <c r="B998" s="2"/>
      <c r="C998" s="1"/>
      <c r="D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" customHeight="1" x14ac:dyDescent="0.2">
      <c r="A999" s="1"/>
      <c r="B999" s="2"/>
      <c r="C999" s="1"/>
      <c r="D999" s="1"/>
      <c r="E999" s="1"/>
    </row>
    <row r="1000" spans="1:21" ht="15" customHeight="1" x14ac:dyDescent="0.2">
      <c r="A1000" s="1"/>
      <c r="B1000" s="2"/>
      <c r="C1000" s="1"/>
      <c r="D1000" s="1"/>
      <c r="E1000" s="1"/>
    </row>
    <row r="1001" spans="1:21" ht="15" customHeight="1" x14ac:dyDescent="0.2">
      <c r="A1001" s="1"/>
      <c r="B1001" s="2"/>
      <c r="C1001" s="1"/>
      <c r="D1001" s="1"/>
      <c r="E1001" s="1"/>
    </row>
    <row r="1002" spans="1:21" ht="15" customHeight="1" x14ac:dyDescent="0.2">
      <c r="A1002" s="1"/>
      <c r="B1002" s="2"/>
      <c r="C1002" s="1"/>
      <c r="D1002" s="1"/>
      <c r="E1002" s="1"/>
    </row>
    <row r="1003" spans="1:21" ht="15" customHeight="1" x14ac:dyDescent="0.2">
      <c r="A1003" s="1"/>
      <c r="B1003" s="2"/>
      <c r="C1003" s="1"/>
      <c r="D1003" s="1"/>
      <c r="E1003" s="1"/>
    </row>
    <row r="1004" spans="1:21" ht="15" customHeight="1" x14ac:dyDescent="0.2">
      <c r="A1004" s="1"/>
      <c r="B1004" s="2"/>
      <c r="C1004" s="1"/>
      <c r="D1004" s="1"/>
      <c r="E1004" s="1"/>
    </row>
    <row r="1005" spans="1:21" ht="15" customHeight="1" x14ac:dyDescent="0.2">
      <c r="A1005" s="1"/>
      <c r="B1005" s="2"/>
      <c r="C1005" s="1"/>
      <c r="D1005" s="1"/>
      <c r="E1005" s="1"/>
    </row>
    <row r="1006" spans="1:21" ht="15" customHeight="1" x14ac:dyDescent="0.2">
      <c r="A1006" s="1"/>
      <c r="B1006" s="2"/>
      <c r="C1006" s="1"/>
      <c r="D1006" s="1"/>
      <c r="E1006" s="1"/>
    </row>
    <row r="1007" spans="1:21" ht="15" customHeight="1" x14ac:dyDescent="0.2">
      <c r="A1007" s="1"/>
      <c r="B1007" s="2"/>
      <c r="C1007" s="1"/>
      <c r="D1007" s="1"/>
      <c r="E1007" s="1"/>
    </row>
    <row r="1008" spans="1:21" ht="15" customHeight="1" x14ac:dyDescent="0.2">
      <c r="A1008" s="1"/>
      <c r="B1008" s="2"/>
      <c r="C1008" s="1"/>
      <c r="D1008" s="1"/>
      <c r="E1008" s="1"/>
    </row>
    <row r="1009" spans="1:5" ht="15" customHeight="1" x14ac:dyDescent="0.2">
      <c r="A1009" s="1"/>
      <c r="B1009" s="2"/>
      <c r="C1009" s="1"/>
      <c r="D1009" s="1"/>
      <c r="E1009" s="1"/>
    </row>
    <row r="1010" spans="1:5" ht="15" customHeight="1" x14ac:dyDescent="0.2">
      <c r="A1010" s="1"/>
      <c r="B1010" s="2"/>
      <c r="C1010" s="1"/>
      <c r="D1010" s="1"/>
      <c r="E1010" s="1"/>
    </row>
    <row r="1011" spans="1:5" ht="15" customHeight="1" x14ac:dyDescent="0.2">
      <c r="A1011" s="1"/>
      <c r="B1011" s="2"/>
      <c r="C1011" s="1"/>
      <c r="D1011" s="1"/>
      <c r="E1011" s="1"/>
    </row>
  </sheetData>
  <mergeCells count="5">
    <mergeCell ref="A13:A14"/>
    <mergeCell ref="A176:A177"/>
    <mergeCell ref="B176:B177"/>
    <mergeCell ref="B544:B545"/>
    <mergeCell ref="B547:B548"/>
  </mergeCells>
  <phoneticPr fontId="28" type="noConversion"/>
  <printOptions horizontalCentered="1"/>
  <pageMargins left="0.15748031496062992" right="0.15748031496062992" top="0.98425196850393704" bottom="0.98425196850393704" header="0" footer="0"/>
  <pageSetup paperSize="9" fitToHeight="0" orientation="portrait"/>
  <headerFooter>
    <oddFooter>&amp;CPágina &amp;P de &amp;RSANATORIO COLEGIALES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showGridLines="0" workbookViewId="0">
      <selection activeCell="H3" sqref="H3"/>
    </sheetView>
  </sheetViews>
  <sheetFormatPr baseColWidth="10" defaultColWidth="12.7109375" defaultRowHeight="15" customHeight="1" x14ac:dyDescent="0.2"/>
  <cols>
    <col min="1" max="1" width="11.42578125" customWidth="1"/>
    <col min="2" max="2" width="82.140625" customWidth="1"/>
    <col min="3" max="3" width="16.140625" customWidth="1"/>
    <col min="4" max="7" width="14.5703125" hidden="1" customWidth="1"/>
    <col min="8" max="9" width="14.5703125" bestFit="1" customWidth="1"/>
    <col min="10" max="18" width="11.42578125" customWidth="1"/>
  </cols>
  <sheetData>
    <row r="1" spans="1:18" ht="12.75" customHeight="1" x14ac:dyDescent="0.2">
      <c r="A1" s="65"/>
      <c r="B1" s="66"/>
      <c r="C1" s="67"/>
      <c r="D1" s="65"/>
      <c r="E1" s="65"/>
      <c r="F1" s="162">
        <v>2.5000000000000001E-2</v>
      </c>
      <c r="G1" s="162"/>
      <c r="H1" s="162">
        <v>2.4E-2</v>
      </c>
      <c r="I1" s="162"/>
      <c r="J1" s="65"/>
      <c r="K1" s="65"/>
      <c r="L1" s="65"/>
      <c r="M1" s="65"/>
      <c r="N1" s="65"/>
      <c r="O1" s="65"/>
      <c r="P1" s="65"/>
      <c r="Q1" s="65"/>
      <c r="R1" s="65"/>
    </row>
    <row r="2" spans="1:18" ht="12.75" customHeight="1" x14ac:dyDescent="0.2">
      <c r="A2" s="65"/>
      <c r="B2" s="66"/>
      <c r="C2" s="65"/>
      <c r="D2" s="160">
        <v>45992</v>
      </c>
      <c r="E2" s="161"/>
      <c r="F2" s="160">
        <v>46023</v>
      </c>
      <c r="G2" s="161"/>
      <c r="H2" s="160">
        <v>46054</v>
      </c>
      <c r="I2" s="161"/>
      <c r="J2" s="65"/>
      <c r="K2" s="65"/>
      <c r="L2" s="65"/>
      <c r="M2" s="65"/>
      <c r="N2" s="65"/>
      <c r="O2" s="65"/>
      <c r="P2" s="65"/>
      <c r="Q2" s="65"/>
      <c r="R2" s="65"/>
    </row>
    <row r="3" spans="1:18" ht="19.5" customHeight="1" x14ac:dyDescent="0.2">
      <c r="A3" s="65"/>
      <c r="B3" s="68" t="s">
        <v>493</v>
      </c>
      <c r="C3" s="68" t="s">
        <v>494</v>
      </c>
      <c r="D3" s="69" t="s">
        <v>495</v>
      </c>
      <c r="E3" s="69" t="s">
        <v>496</v>
      </c>
      <c r="F3" s="69" t="s">
        <v>495</v>
      </c>
      <c r="G3" s="69" t="s">
        <v>496</v>
      </c>
      <c r="H3" s="69" t="s">
        <v>495</v>
      </c>
      <c r="I3" s="69" t="s">
        <v>496</v>
      </c>
      <c r="J3" s="65"/>
      <c r="K3" s="65"/>
      <c r="L3" s="65"/>
      <c r="M3" s="65"/>
      <c r="N3" s="65"/>
      <c r="O3" s="65"/>
      <c r="P3" s="65"/>
      <c r="Q3" s="65"/>
      <c r="R3" s="65"/>
    </row>
    <row r="4" spans="1:18" ht="19.5" customHeight="1" x14ac:dyDescent="0.2">
      <c r="A4" s="65"/>
      <c r="B4" s="70" t="s">
        <v>497</v>
      </c>
      <c r="C4" s="55" t="s">
        <v>498</v>
      </c>
      <c r="D4" s="71">
        <v>5969067.1524</v>
      </c>
      <c r="E4" s="71">
        <v>6859029.4740000013</v>
      </c>
      <c r="F4" s="71">
        <f>IFERROR(D4*(1+$F$1),D4)</f>
        <v>6118293.8312099995</v>
      </c>
      <c r="G4" s="71">
        <f>IFERROR(E4*(1+$F$1),E4)</f>
        <v>7030505.2108500004</v>
      </c>
      <c r="H4" s="71">
        <f>IFERROR(F4*(1+$H$1),F4)</f>
        <v>6265132.8831590395</v>
      </c>
      <c r="I4" s="71">
        <f>IFERROR(G4*(1+$H$1),G4)</f>
        <v>7199237.3359104004</v>
      </c>
      <c r="J4" s="65"/>
      <c r="K4" s="65"/>
      <c r="L4" s="65"/>
      <c r="M4" s="65"/>
      <c r="N4" s="65"/>
      <c r="O4" s="65"/>
      <c r="P4" s="65"/>
      <c r="Q4" s="65"/>
      <c r="R4" s="65"/>
    </row>
    <row r="5" spans="1:18" ht="19.5" customHeight="1" x14ac:dyDescent="0.2">
      <c r="A5" s="65"/>
      <c r="B5" s="70" t="s">
        <v>499</v>
      </c>
      <c r="C5" s="55" t="s">
        <v>500</v>
      </c>
      <c r="D5" s="71">
        <v>5969067.1524</v>
      </c>
      <c r="E5" s="71">
        <v>6859029.4740000013</v>
      </c>
      <c r="F5" s="71">
        <f t="shared" ref="F5:F16" si="0">IFERROR(D5*(1+$F$1),D5)</f>
        <v>6118293.8312099995</v>
      </c>
      <c r="G5" s="71">
        <f t="shared" ref="G5:G16" si="1">IFERROR(E5*(1+$F$1),E5)</f>
        <v>7030505.2108500004</v>
      </c>
      <c r="H5" s="71">
        <f t="shared" ref="H5:H16" si="2">IFERROR(F5*(1+$H$1),F5)</f>
        <v>6265132.8831590395</v>
      </c>
      <c r="I5" s="71">
        <f t="shared" ref="I5:I16" si="3">IFERROR(G5*(1+$H$1),G5)</f>
        <v>7199237.3359104004</v>
      </c>
      <c r="J5" s="65"/>
      <c r="K5" s="65"/>
      <c r="L5" s="65"/>
      <c r="M5" s="65"/>
      <c r="N5" s="65"/>
      <c r="O5" s="65"/>
      <c r="P5" s="65"/>
      <c r="Q5" s="65"/>
      <c r="R5" s="65"/>
    </row>
    <row r="6" spans="1:18" ht="19.5" customHeight="1" x14ac:dyDescent="0.2">
      <c r="A6" s="65"/>
      <c r="B6" s="70" t="s">
        <v>501</v>
      </c>
      <c r="C6" s="55" t="s">
        <v>502</v>
      </c>
      <c r="D6" s="71">
        <v>4349089.4436000008</v>
      </c>
      <c r="E6" s="71">
        <v>4965805.2708000001</v>
      </c>
      <c r="F6" s="71">
        <f t="shared" si="0"/>
        <v>4457816.6796900006</v>
      </c>
      <c r="G6" s="71">
        <f t="shared" si="1"/>
        <v>5089950.4025699999</v>
      </c>
      <c r="H6" s="71">
        <f t="shared" si="2"/>
        <v>4564804.2800025605</v>
      </c>
      <c r="I6" s="71">
        <f t="shared" si="3"/>
        <v>5212109.2122316798</v>
      </c>
      <c r="J6" s="65"/>
      <c r="K6" s="65"/>
      <c r="L6" s="65"/>
      <c r="M6" s="65"/>
      <c r="N6" s="65"/>
      <c r="O6" s="65"/>
      <c r="P6" s="65"/>
      <c r="Q6" s="65"/>
      <c r="R6" s="65"/>
    </row>
    <row r="7" spans="1:18" ht="19.5" customHeight="1" x14ac:dyDescent="0.2">
      <c r="A7" s="65"/>
      <c r="B7" s="70" t="s">
        <v>503</v>
      </c>
      <c r="C7" s="55" t="s">
        <v>504</v>
      </c>
      <c r="D7" s="71">
        <v>5969067.1524</v>
      </c>
      <c r="E7" s="71">
        <v>6859029.4740000013</v>
      </c>
      <c r="F7" s="71">
        <f t="shared" si="0"/>
        <v>6118293.8312099995</v>
      </c>
      <c r="G7" s="71">
        <f t="shared" si="1"/>
        <v>7030505.2108500004</v>
      </c>
      <c r="H7" s="71">
        <f t="shared" si="2"/>
        <v>6265132.8831590395</v>
      </c>
      <c r="I7" s="71">
        <f t="shared" si="3"/>
        <v>7199237.3359104004</v>
      </c>
      <c r="J7" s="65"/>
      <c r="K7" s="65"/>
      <c r="L7" s="65"/>
      <c r="M7" s="65"/>
      <c r="N7" s="65"/>
      <c r="O7" s="65"/>
      <c r="P7" s="65"/>
      <c r="Q7" s="65"/>
      <c r="R7" s="65"/>
    </row>
    <row r="8" spans="1:18" ht="19.5" customHeight="1" x14ac:dyDescent="0.2">
      <c r="A8" s="65"/>
      <c r="B8" s="70" t="s">
        <v>505</v>
      </c>
      <c r="C8" s="55" t="s">
        <v>506</v>
      </c>
      <c r="D8" s="71">
        <v>4836380.5512000006</v>
      </c>
      <c r="E8" s="71">
        <v>5574223.9080000008</v>
      </c>
      <c r="F8" s="71">
        <f t="shared" si="0"/>
        <v>4957290.0649800003</v>
      </c>
      <c r="G8" s="71">
        <f t="shared" si="1"/>
        <v>5713579.5057000006</v>
      </c>
      <c r="H8" s="71">
        <f t="shared" si="2"/>
        <v>5076265.0265395204</v>
      </c>
      <c r="I8" s="71">
        <f t="shared" si="3"/>
        <v>5850705.4138368005</v>
      </c>
      <c r="J8" s="65"/>
      <c r="K8" s="65"/>
      <c r="L8" s="65"/>
      <c r="M8" s="65"/>
      <c r="N8" s="65"/>
      <c r="O8" s="65"/>
      <c r="P8" s="65"/>
      <c r="Q8" s="65"/>
      <c r="R8" s="65"/>
    </row>
    <row r="9" spans="1:18" ht="19.5" customHeight="1" x14ac:dyDescent="0.2">
      <c r="A9" s="65"/>
      <c r="B9" s="70" t="s">
        <v>507</v>
      </c>
      <c r="C9" s="55" t="s">
        <v>506</v>
      </c>
      <c r="D9" s="71">
        <v>4135205.0520000006</v>
      </c>
      <c r="E9" s="71">
        <v>4764463.9416000005</v>
      </c>
      <c r="F9" s="71">
        <f t="shared" si="0"/>
        <v>4238585.1782999998</v>
      </c>
      <c r="G9" s="71">
        <f t="shared" si="1"/>
        <v>4883575.5401400002</v>
      </c>
      <c r="H9" s="71">
        <f t="shared" si="2"/>
        <v>4340311.2225791998</v>
      </c>
      <c r="I9" s="71">
        <f t="shared" si="3"/>
        <v>5000781.3531033602</v>
      </c>
      <c r="J9" s="65"/>
      <c r="K9" s="65"/>
      <c r="L9" s="65"/>
      <c r="M9" s="65"/>
      <c r="N9" s="65"/>
      <c r="O9" s="65"/>
      <c r="P9" s="65"/>
      <c r="Q9" s="65"/>
      <c r="R9" s="65"/>
    </row>
    <row r="10" spans="1:18" ht="19.5" customHeight="1" x14ac:dyDescent="0.2">
      <c r="A10" s="65"/>
      <c r="B10" s="70" t="s">
        <v>508</v>
      </c>
      <c r="C10" s="55" t="s">
        <v>506</v>
      </c>
      <c r="D10" s="71">
        <v>4135205.0520000006</v>
      </c>
      <c r="E10" s="71">
        <v>4764463.9416000005</v>
      </c>
      <c r="F10" s="71">
        <f t="shared" si="0"/>
        <v>4238585.1782999998</v>
      </c>
      <c r="G10" s="71">
        <f t="shared" si="1"/>
        <v>4883575.5401400002</v>
      </c>
      <c r="H10" s="71">
        <f t="shared" si="2"/>
        <v>4340311.2225791998</v>
      </c>
      <c r="I10" s="71">
        <f t="shared" si="3"/>
        <v>5000781.3531033602</v>
      </c>
      <c r="J10" s="65"/>
      <c r="K10" s="65"/>
      <c r="L10" s="65"/>
      <c r="M10" s="65"/>
      <c r="N10" s="65"/>
      <c r="O10" s="65"/>
      <c r="P10" s="65"/>
      <c r="Q10" s="65"/>
      <c r="R10" s="65"/>
    </row>
    <row r="11" spans="1:18" ht="19.5" customHeight="1" x14ac:dyDescent="0.2">
      <c r="A11" s="65"/>
      <c r="B11" s="70" t="s">
        <v>509</v>
      </c>
      <c r="C11" s="55" t="s">
        <v>506</v>
      </c>
      <c r="D11" s="71">
        <v>4135205.0520000006</v>
      </c>
      <c r="E11" s="71">
        <v>4764463.9416000005</v>
      </c>
      <c r="F11" s="71">
        <f t="shared" si="0"/>
        <v>4238585.1782999998</v>
      </c>
      <c r="G11" s="71">
        <f t="shared" si="1"/>
        <v>4883575.5401400002</v>
      </c>
      <c r="H11" s="71">
        <f t="shared" si="2"/>
        <v>4340311.2225791998</v>
      </c>
      <c r="I11" s="71">
        <f t="shared" si="3"/>
        <v>5000781.3531033602</v>
      </c>
      <c r="J11" s="65"/>
      <c r="K11" s="65"/>
      <c r="L11" s="65"/>
      <c r="M11" s="65"/>
      <c r="N11" s="65"/>
      <c r="O11" s="65"/>
      <c r="P11" s="65"/>
      <c r="Q11" s="65"/>
      <c r="R11" s="65"/>
    </row>
    <row r="12" spans="1:18" ht="19.5" customHeight="1" x14ac:dyDescent="0.2">
      <c r="A12" s="65"/>
      <c r="B12" s="70" t="s">
        <v>510</v>
      </c>
      <c r="C12" s="55" t="s">
        <v>506</v>
      </c>
      <c r="D12" s="71">
        <v>4135205.0520000006</v>
      </c>
      <c r="E12" s="71">
        <v>4764463.9416000005</v>
      </c>
      <c r="F12" s="71">
        <f t="shared" si="0"/>
        <v>4238585.1782999998</v>
      </c>
      <c r="G12" s="71">
        <f t="shared" si="1"/>
        <v>4883575.5401400002</v>
      </c>
      <c r="H12" s="71">
        <f t="shared" si="2"/>
        <v>4340311.2225791998</v>
      </c>
      <c r="I12" s="71">
        <f t="shared" si="3"/>
        <v>5000781.3531033602</v>
      </c>
      <c r="J12" s="65"/>
      <c r="K12" s="65"/>
      <c r="L12" s="65"/>
      <c r="M12" s="65"/>
      <c r="N12" s="65"/>
      <c r="O12" s="65"/>
      <c r="P12" s="65"/>
      <c r="Q12" s="65"/>
      <c r="R12" s="65"/>
    </row>
    <row r="13" spans="1:18" ht="19.5" customHeight="1" x14ac:dyDescent="0.2">
      <c r="A13" s="65"/>
      <c r="B13" s="70" t="s">
        <v>511</v>
      </c>
      <c r="C13" s="55" t="s">
        <v>506</v>
      </c>
      <c r="D13" s="71">
        <v>4135205.0520000006</v>
      </c>
      <c r="E13" s="71">
        <v>4764463.9416000005</v>
      </c>
      <c r="F13" s="71">
        <f t="shared" si="0"/>
        <v>4238585.1782999998</v>
      </c>
      <c r="G13" s="71">
        <f t="shared" si="1"/>
        <v>4883575.5401400002</v>
      </c>
      <c r="H13" s="71">
        <f t="shared" si="2"/>
        <v>4340311.2225791998</v>
      </c>
      <c r="I13" s="71">
        <f t="shared" si="3"/>
        <v>5000781.3531033602</v>
      </c>
      <c r="J13" s="65"/>
      <c r="K13" s="65"/>
      <c r="L13" s="65"/>
      <c r="M13" s="65"/>
      <c r="N13" s="65"/>
      <c r="O13" s="65"/>
      <c r="P13" s="65"/>
      <c r="Q13" s="65"/>
      <c r="R13" s="65"/>
    </row>
    <row r="14" spans="1:18" ht="19.5" customHeight="1" x14ac:dyDescent="0.2">
      <c r="A14" s="65"/>
      <c r="B14" s="70" t="s">
        <v>512</v>
      </c>
      <c r="C14" s="55" t="s">
        <v>513</v>
      </c>
      <c r="D14" s="71">
        <v>889504.54560000019</v>
      </c>
      <c r="E14" s="71">
        <v>1024823.1312000002</v>
      </c>
      <c r="F14" s="71">
        <f t="shared" si="0"/>
        <v>911742.15924000007</v>
      </c>
      <c r="G14" s="71">
        <f t="shared" si="1"/>
        <v>1050443.7094800002</v>
      </c>
      <c r="H14" s="71">
        <f t="shared" si="2"/>
        <v>933623.97106176009</v>
      </c>
      <c r="I14" s="71">
        <f t="shared" si="3"/>
        <v>1075654.3585075203</v>
      </c>
      <c r="J14" s="65"/>
      <c r="K14" s="65"/>
      <c r="L14" s="65"/>
      <c r="M14" s="65"/>
      <c r="N14" s="65"/>
      <c r="O14" s="65"/>
      <c r="P14" s="65"/>
      <c r="Q14" s="65"/>
      <c r="R14" s="65"/>
    </row>
    <row r="15" spans="1:18" ht="19.5" customHeight="1" x14ac:dyDescent="0.2">
      <c r="A15" s="65"/>
      <c r="B15" s="70" t="s">
        <v>514</v>
      </c>
      <c r="C15" s="55" t="s">
        <v>513</v>
      </c>
      <c r="D15" s="71">
        <v>889504.54560000019</v>
      </c>
      <c r="E15" s="71">
        <v>1024823.1312000002</v>
      </c>
      <c r="F15" s="71">
        <f t="shared" si="0"/>
        <v>911742.15924000007</v>
      </c>
      <c r="G15" s="71">
        <f t="shared" si="1"/>
        <v>1050443.7094800002</v>
      </c>
      <c r="H15" s="71">
        <f t="shared" si="2"/>
        <v>933623.97106176009</v>
      </c>
      <c r="I15" s="71">
        <f t="shared" si="3"/>
        <v>1075654.3585075203</v>
      </c>
      <c r="J15" s="65"/>
      <c r="K15" s="65"/>
      <c r="L15" s="65"/>
      <c r="M15" s="65"/>
      <c r="N15" s="65"/>
      <c r="O15" s="65"/>
      <c r="P15" s="65"/>
      <c r="Q15" s="65"/>
      <c r="R15" s="65"/>
    </row>
    <row r="16" spans="1:18" ht="19.5" customHeight="1" x14ac:dyDescent="0.2">
      <c r="A16" s="65"/>
      <c r="B16" s="70" t="s">
        <v>515</v>
      </c>
      <c r="C16" s="55" t="s">
        <v>513</v>
      </c>
      <c r="D16" s="71">
        <v>889504.54560000019</v>
      </c>
      <c r="E16" s="71">
        <v>1024823.1312000002</v>
      </c>
      <c r="F16" s="71">
        <f t="shared" si="0"/>
        <v>911742.15924000007</v>
      </c>
      <c r="G16" s="71">
        <f t="shared" si="1"/>
        <v>1050443.7094800002</v>
      </c>
      <c r="H16" s="71">
        <f t="shared" si="2"/>
        <v>933623.97106176009</v>
      </c>
      <c r="I16" s="71">
        <f t="shared" si="3"/>
        <v>1075654.3585075203</v>
      </c>
      <c r="J16" s="65"/>
      <c r="K16" s="65"/>
      <c r="L16" s="65"/>
      <c r="M16" s="65"/>
      <c r="N16" s="65"/>
      <c r="O16" s="65"/>
      <c r="P16" s="65"/>
      <c r="Q16" s="65"/>
      <c r="R16" s="65"/>
    </row>
    <row r="17" spans="1:18" ht="19.5" customHeight="1" x14ac:dyDescent="0.2">
      <c r="A17" s="65"/>
      <c r="B17" s="66"/>
      <c r="C17" s="67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</row>
    <row r="18" spans="1:18" ht="19.5" customHeight="1" x14ac:dyDescent="0.2">
      <c r="A18" s="65"/>
      <c r="B18" s="68" t="s">
        <v>516</v>
      </c>
      <c r="C18" s="68" t="s">
        <v>517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</row>
    <row r="19" spans="1:18" ht="19.5" customHeight="1" x14ac:dyDescent="0.2">
      <c r="A19" s="65"/>
      <c r="B19" s="72" t="s">
        <v>518</v>
      </c>
      <c r="C19" s="73">
        <v>396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</row>
    <row r="20" spans="1:18" ht="19.5" customHeight="1" x14ac:dyDescent="0.2">
      <c r="A20" s="65"/>
      <c r="B20" s="72" t="s">
        <v>519</v>
      </c>
      <c r="C20" s="73">
        <v>638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</row>
    <row r="21" spans="1:18" ht="19.5" customHeight="1" x14ac:dyDescent="0.2">
      <c r="A21" s="65"/>
      <c r="B21" s="72" t="s">
        <v>520</v>
      </c>
      <c r="C21" s="73">
        <v>364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</row>
    <row r="22" spans="1:18" ht="19.5" customHeight="1" x14ac:dyDescent="0.2">
      <c r="A22" s="65"/>
      <c r="B22" s="72" t="s">
        <v>521</v>
      </c>
      <c r="C22" s="73">
        <v>336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</row>
    <row r="23" spans="1:18" ht="19.5" customHeight="1" x14ac:dyDescent="0.2">
      <c r="A23" s="65"/>
      <c r="B23" s="72" t="s">
        <v>522</v>
      </c>
      <c r="C23" s="73">
        <v>1025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</row>
    <row r="24" spans="1:18" ht="19.5" customHeight="1" x14ac:dyDescent="0.2">
      <c r="A24" s="65"/>
      <c r="B24" s="72" t="s">
        <v>523</v>
      </c>
      <c r="C24" s="73">
        <v>580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</row>
    <row r="25" spans="1:18" ht="19.5" customHeight="1" x14ac:dyDescent="0.2">
      <c r="A25" s="65"/>
      <c r="B25" s="72" t="s">
        <v>524</v>
      </c>
      <c r="C25" s="73">
        <v>454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1:18" ht="19.5" customHeight="1" x14ac:dyDescent="0.2">
      <c r="A26" s="65"/>
      <c r="B26" s="72" t="s">
        <v>525</v>
      </c>
      <c r="C26" s="73">
        <f>3240*1.3</f>
        <v>4212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</row>
    <row r="27" spans="1:18" ht="19.5" customHeight="1" x14ac:dyDescent="0.2">
      <c r="A27" s="65"/>
      <c r="B27" s="72" t="s">
        <v>526</v>
      </c>
      <c r="C27" s="73">
        <v>958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</row>
    <row r="28" spans="1:18" ht="19.5" customHeight="1" x14ac:dyDescent="0.2">
      <c r="A28" s="65"/>
      <c r="B28" s="72" t="s">
        <v>527</v>
      </c>
      <c r="C28" s="73">
        <v>655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1:18" ht="19.5" customHeight="1" x14ac:dyDescent="0.2">
      <c r="A29" s="65"/>
      <c r="B29" s="72" t="s">
        <v>528</v>
      </c>
      <c r="C29" s="73">
        <v>4914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</row>
    <row r="30" spans="1:18" ht="12.75" customHeight="1" x14ac:dyDescent="0.2">
      <c r="A30" s="65"/>
      <c r="B30" s="74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</row>
    <row r="31" spans="1:18" ht="12.75" customHeight="1" x14ac:dyDescent="0.2">
      <c r="A31" s="65"/>
      <c r="B31" s="7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12.75" customHeight="1" x14ac:dyDescent="0.2">
      <c r="A32" s="65"/>
      <c r="B32" s="7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12.75" customHeight="1" x14ac:dyDescent="0.2">
      <c r="A33" s="65"/>
      <c r="B33" s="66"/>
      <c r="C33" s="67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</row>
    <row r="34" spans="1:18" ht="12.75" customHeight="1" x14ac:dyDescent="0.2">
      <c r="A34" s="65"/>
      <c r="B34" s="66"/>
      <c r="C34" s="67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</row>
    <row r="35" spans="1:18" ht="12.75" customHeight="1" x14ac:dyDescent="0.2">
      <c r="A35" s="65"/>
      <c r="B35" s="66"/>
      <c r="C35" s="67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</row>
    <row r="36" spans="1:18" ht="12.75" customHeight="1" x14ac:dyDescent="0.2">
      <c r="A36" s="65"/>
      <c r="B36" s="66"/>
      <c r="C36" s="67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</row>
    <row r="37" spans="1:18" ht="12.75" customHeight="1" x14ac:dyDescent="0.2">
      <c r="A37" s="65"/>
      <c r="B37" s="66"/>
      <c r="C37" s="67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</row>
    <row r="38" spans="1:18" ht="12.75" customHeight="1" x14ac:dyDescent="0.2">
      <c r="A38" s="65"/>
      <c r="B38" s="66"/>
      <c r="C38" s="67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</row>
    <row r="39" spans="1:18" ht="12.75" customHeight="1" x14ac:dyDescent="0.2">
      <c r="A39" s="65"/>
      <c r="B39" s="66"/>
      <c r="C39" s="67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</row>
    <row r="40" spans="1:18" ht="12.75" customHeight="1" x14ac:dyDescent="0.2">
      <c r="A40" s="65"/>
      <c r="B40" s="66"/>
      <c r="C40" s="67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</row>
    <row r="41" spans="1:18" ht="12.75" customHeight="1" x14ac:dyDescent="0.2">
      <c r="A41" s="65"/>
      <c r="B41" s="66"/>
      <c r="C41" s="67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</row>
    <row r="42" spans="1:18" ht="12.75" customHeight="1" x14ac:dyDescent="0.2">
      <c r="A42" s="65"/>
      <c r="B42" s="66"/>
      <c r="C42" s="67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</row>
    <row r="43" spans="1:18" ht="12.75" customHeight="1" x14ac:dyDescent="0.2">
      <c r="A43" s="65"/>
      <c r="B43" s="66"/>
      <c r="C43" s="67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</row>
    <row r="44" spans="1:18" ht="12.75" customHeight="1" x14ac:dyDescent="0.2">
      <c r="A44" s="65"/>
      <c r="B44" s="66"/>
      <c r="C44" s="67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</row>
    <row r="45" spans="1:18" ht="12.75" customHeight="1" x14ac:dyDescent="0.2">
      <c r="A45" s="65"/>
      <c r="B45" s="66"/>
      <c r="C45" s="67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</row>
    <row r="46" spans="1:18" ht="12.75" customHeight="1" x14ac:dyDescent="0.2">
      <c r="A46" s="65"/>
      <c r="B46" s="66"/>
      <c r="C46" s="67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</row>
    <row r="47" spans="1:18" ht="12.75" customHeight="1" x14ac:dyDescent="0.2">
      <c r="A47" s="65"/>
      <c r="B47" s="66"/>
      <c r="C47" s="67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</row>
    <row r="48" spans="1:18" ht="12.75" customHeight="1" x14ac:dyDescent="0.2">
      <c r="A48" s="65"/>
      <c r="B48" s="66"/>
      <c r="C48" s="67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</row>
    <row r="49" spans="1:18" ht="12.75" customHeight="1" x14ac:dyDescent="0.2">
      <c r="A49" s="65"/>
      <c r="B49" s="66"/>
      <c r="C49" s="67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</row>
    <row r="50" spans="1:18" ht="12.75" customHeight="1" x14ac:dyDescent="0.2">
      <c r="A50" s="65"/>
      <c r="B50" s="66"/>
      <c r="C50" s="67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 spans="1:18" ht="12.75" customHeight="1" x14ac:dyDescent="0.2">
      <c r="A51" s="65"/>
      <c r="B51" s="66"/>
      <c r="C51" s="67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</row>
    <row r="52" spans="1:18" ht="12.75" customHeight="1" x14ac:dyDescent="0.2">
      <c r="A52" s="65"/>
      <c r="B52" s="66"/>
      <c r="C52" s="67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</row>
    <row r="53" spans="1:18" ht="12.75" customHeight="1" x14ac:dyDescent="0.2">
      <c r="A53" s="65"/>
      <c r="B53" s="66"/>
      <c r="C53" s="67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</row>
    <row r="54" spans="1:18" ht="12.75" customHeight="1" x14ac:dyDescent="0.2">
      <c r="A54" s="65"/>
      <c r="B54" s="66"/>
      <c r="C54" s="67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5" spans="1:18" ht="12.75" customHeight="1" x14ac:dyDescent="0.2">
      <c r="A55" s="65"/>
      <c r="B55" s="66"/>
      <c r="C55" s="67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</row>
    <row r="56" spans="1:18" ht="12.75" customHeight="1" x14ac:dyDescent="0.2">
      <c r="A56" s="65"/>
      <c r="B56" s="66"/>
      <c r="C56" s="67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</row>
    <row r="57" spans="1:18" ht="12.75" customHeight="1" x14ac:dyDescent="0.2">
      <c r="A57" s="65"/>
      <c r="B57" s="66"/>
      <c r="C57" s="67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</row>
    <row r="58" spans="1:18" ht="12.75" customHeight="1" x14ac:dyDescent="0.2">
      <c r="A58" s="65"/>
      <c r="B58" s="66"/>
      <c r="C58" s="67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</row>
    <row r="59" spans="1:18" ht="12.75" customHeight="1" x14ac:dyDescent="0.2">
      <c r="A59" s="65"/>
      <c r="B59" s="66"/>
      <c r="C59" s="67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</row>
    <row r="60" spans="1:18" ht="12.75" customHeight="1" x14ac:dyDescent="0.2">
      <c r="A60" s="65"/>
      <c r="B60" s="66"/>
      <c r="C60" s="67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</row>
    <row r="61" spans="1:18" ht="12.75" customHeight="1" x14ac:dyDescent="0.2">
      <c r="A61" s="65"/>
      <c r="B61" s="66"/>
      <c r="C61" s="67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</row>
    <row r="62" spans="1:18" ht="12.75" customHeight="1" x14ac:dyDescent="0.2">
      <c r="A62" s="65"/>
      <c r="B62" s="66"/>
      <c r="C62" s="67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</row>
    <row r="63" spans="1:18" ht="12.75" customHeight="1" x14ac:dyDescent="0.2">
      <c r="A63" s="65"/>
      <c r="B63" s="66"/>
      <c r="C63" s="67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</row>
    <row r="64" spans="1:18" ht="12.75" customHeight="1" x14ac:dyDescent="0.2">
      <c r="A64" s="65"/>
      <c r="B64" s="66"/>
      <c r="C64" s="67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</row>
    <row r="65" spans="1:18" ht="12.75" customHeight="1" x14ac:dyDescent="0.2">
      <c r="A65" s="65"/>
      <c r="B65" s="66"/>
      <c r="C65" s="67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</row>
    <row r="66" spans="1:18" ht="12.75" customHeight="1" x14ac:dyDescent="0.2">
      <c r="A66" s="65"/>
      <c r="B66" s="66"/>
      <c r="C66" s="67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</row>
    <row r="67" spans="1:18" ht="12.75" customHeight="1" x14ac:dyDescent="0.2">
      <c r="A67" s="65"/>
      <c r="B67" s="66"/>
      <c r="C67" s="67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</row>
    <row r="68" spans="1:18" ht="12.75" customHeight="1" x14ac:dyDescent="0.2">
      <c r="A68" s="65"/>
      <c r="B68" s="66"/>
      <c r="C68" s="67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</row>
    <row r="69" spans="1:18" ht="12.75" customHeight="1" x14ac:dyDescent="0.2">
      <c r="A69" s="65"/>
      <c r="B69" s="66"/>
      <c r="C69" s="67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</row>
    <row r="70" spans="1:18" ht="12.75" customHeight="1" x14ac:dyDescent="0.2">
      <c r="A70" s="65"/>
      <c r="B70" s="66"/>
      <c r="C70" s="67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</row>
    <row r="71" spans="1:18" ht="12.75" customHeight="1" x14ac:dyDescent="0.2">
      <c r="A71" s="65"/>
      <c r="B71" s="66"/>
      <c r="C71" s="67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</row>
    <row r="72" spans="1:18" ht="12.75" customHeight="1" x14ac:dyDescent="0.2">
      <c r="A72" s="65"/>
      <c r="B72" s="66"/>
      <c r="C72" s="67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</row>
    <row r="73" spans="1:18" ht="12.75" customHeight="1" x14ac:dyDescent="0.2">
      <c r="A73" s="65"/>
      <c r="B73" s="66"/>
      <c r="C73" s="67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</row>
    <row r="74" spans="1:18" ht="12.75" customHeight="1" x14ac:dyDescent="0.2">
      <c r="A74" s="65"/>
      <c r="B74" s="66"/>
      <c r="C74" s="67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</row>
    <row r="75" spans="1:18" ht="12.75" customHeight="1" x14ac:dyDescent="0.2">
      <c r="A75" s="65"/>
      <c r="B75" s="66"/>
      <c r="C75" s="67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</row>
    <row r="76" spans="1:18" ht="12.75" customHeight="1" x14ac:dyDescent="0.2">
      <c r="A76" s="65"/>
      <c r="B76" s="66"/>
      <c r="C76" s="67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</row>
    <row r="77" spans="1:18" ht="12.75" customHeight="1" x14ac:dyDescent="0.2">
      <c r="A77" s="65"/>
      <c r="B77" s="66"/>
      <c r="C77" s="67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</row>
    <row r="78" spans="1:18" ht="12.75" customHeight="1" x14ac:dyDescent="0.2">
      <c r="A78" s="65"/>
      <c r="B78" s="66"/>
      <c r="C78" s="67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</row>
    <row r="79" spans="1:18" ht="12.75" customHeight="1" x14ac:dyDescent="0.2">
      <c r="A79" s="65"/>
      <c r="B79" s="66"/>
      <c r="C79" s="67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</row>
    <row r="80" spans="1:18" ht="12.75" customHeight="1" x14ac:dyDescent="0.2">
      <c r="A80" s="65"/>
      <c r="B80" s="66"/>
      <c r="C80" s="67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</row>
    <row r="81" spans="1:18" ht="12.75" customHeight="1" x14ac:dyDescent="0.2">
      <c r="A81" s="65"/>
      <c r="B81" s="66"/>
      <c r="C81" s="67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</row>
    <row r="82" spans="1:18" ht="12.75" customHeight="1" x14ac:dyDescent="0.2">
      <c r="A82" s="65"/>
      <c r="B82" s="66"/>
      <c r="C82" s="67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</row>
    <row r="83" spans="1:18" ht="12.75" customHeight="1" x14ac:dyDescent="0.2">
      <c r="A83" s="65"/>
      <c r="B83" s="66"/>
      <c r="C83" s="67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</row>
    <row r="84" spans="1:18" ht="12.75" customHeight="1" x14ac:dyDescent="0.2">
      <c r="A84" s="65"/>
      <c r="B84" s="66"/>
      <c r="C84" s="67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</row>
    <row r="85" spans="1:18" ht="12.75" customHeight="1" x14ac:dyDescent="0.2">
      <c r="A85" s="65"/>
      <c r="B85" s="66"/>
      <c r="C85" s="67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</row>
    <row r="86" spans="1:18" ht="12.75" customHeight="1" x14ac:dyDescent="0.2">
      <c r="A86" s="65"/>
      <c r="B86" s="66"/>
      <c r="C86" s="67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</row>
    <row r="87" spans="1:18" ht="12.75" customHeight="1" x14ac:dyDescent="0.2">
      <c r="A87" s="65"/>
      <c r="B87" s="66"/>
      <c r="C87" s="67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</row>
    <row r="88" spans="1:18" ht="12.75" customHeight="1" x14ac:dyDescent="0.2">
      <c r="A88" s="65"/>
      <c r="B88" s="66"/>
      <c r="C88" s="67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</row>
    <row r="89" spans="1:18" ht="12.75" customHeight="1" x14ac:dyDescent="0.2">
      <c r="A89" s="65"/>
      <c r="B89" s="66"/>
      <c r="C89" s="67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</row>
    <row r="90" spans="1:18" ht="12.75" customHeight="1" x14ac:dyDescent="0.2">
      <c r="A90" s="65"/>
      <c r="B90" s="66"/>
      <c r="C90" s="67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</row>
    <row r="91" spans="1:18" ht="12.75" customHeight="1" x14ac:dyDescent="0.2">
      <c r="A91" s="65"/>
      <c r="B91" s="66"/>
      <c r="C91" s="67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</row>
    <row r="92" spans="1:18" ht="12.75" customHeight="1" x14ac:dyDescent="0.2">
      <c r="A92" s="65"/>
      <c r="B92" s="66"/>
      <c r="C92" s="67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</row>
    <row r="93" spans="1:18" ht="12.75" customHeight="1" x14ac:dyDescent="0.2">
      <c r="A93" s="65"/>
      <c r="B93" s="66"/>
      <c r="C93" s="67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</row>
    <row r="94" spans="1:18" ht="12.75" customHeight="1" x14ac:dyDescent="0.2">
      <c r="A94" s="65"/>
      <c r="B94" s="66"/>
      <c r="C94" s="67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</row>
    <row r="95" spans="1:18" ht="12.75" customHeight="1" x14ac:dyDescent="0.2">
      <c r="A95" s="65"/>
      <c r="B95" s="66"/>
      <c r="C95" s="67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</row>
    <row r="96" spans="1:18" ht="12.75" customHeight="1" x14ac:dyDescent="0.2">
      <c r="A96" s="65"/>
      <c r="B96" s="66"/>
      <c r="C96" s="67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</row>
    <row r="97" spans="1:18" ht="12.75" customHeight="1" x14ac:dyDescent="0.2">
      <c r="A97" s="65"/>
      <c r="B97" s="66"/>
      <c r="C97" s="67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</row>
    <row r="98" spans="1:18" ht="12.75" customHeight="1" x14ac:dyDescent="0.2">
      <c r="A98" s="65"/>
      <c r="B98" s="66"/>
      <c r="C98" s="67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</row>
    <row r="99" spans="1:18" ht="12.75" customHeight="1" x14ac:dyDescent="0.2">
      <c r="A99" s="65"/>
      <c r="B99" s="66"/>
      <c r="C99" s="67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</row>
    <row r="100" spans="1:18" ht="12.75" customHeight="1" x14ac:dyDescent="0.2">
      <c r="A100" s="65"/>
      <c r="B100" s="66"/>
      <c r="C100" s="67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</row>
    <row r="101" spans="1:18" ht="12.75" customHeight="1" x14ac:dyDescent="0.2">
      <c r="A101" s="65"/>
      <c r="B101" s="66"/>
      <c r="C101" s="67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</row>
    <row r="102" spans="1:18" ht="12.75" customHeight="1" x14ac:dyDescent="0.2">
      <c r="A102" s="65"/>
      <c r="B102" s="66"/>
      <c r="C102" s="67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</row>
    <row r="103" spans="1:18" ht="12.75" customHeight="1" x14ac:dyDescent="0.2">
      <c r="A103" s="65"/>
      <c r="B103" s="66"/>
      <c r="C103" s="67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</row>
    <row r="104" spans="1:18" ht="12.75" customHeight="1" x14ac:dyDescent="0.2">
      <c r="A104" s="65"/>
      <c r="B104" s="66"/>
      <c r="C104" s="67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</row>
    <row r="105" spans="1:18" ht="12.75" customHeight="1" x14ac:dyDescent="0.2">
      <c r="A105" s="65"/>
      <c r="B105" s="66"/>
      <c r="C105" s="67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</row>
    <row r="106" spans="1:18" ht="12.75" customHeight="1" x14ac:dyDescent="0.2">
      <c r="A106" s="65"/>
      <c r="B106" s="66"/>
      <c r="C106" s="67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</row>
    <row r="107" spans="1:18" ht="12.75" customHeight="1" x14ac:dyDescent="0.2">
      <c r="A107" s="65"/>
      <c r="B107" s="66"/>
      <c r="C107" s="67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</row>
    <row r="108" spans="1:18" ht="12.75" customHeight="1" x14ac:dyDescent="0.2">
      <c r="A108" s="65"/>
      <c r="B108" s="66"/>
      <c r="C108" s="67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</row>
    <row r="109" spans="1:18" ht="12.75" customHeight="1" x14ac:dyDescent="0.2">
      <c r="A109" s="65"/>
      <c r="B109" s="66"/>
      <c r="C109" s="67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</row>
    <row r="110" spans="1:18" ht="12.75" customHeight="1" x14ac:dyDescent="0.2">
      <c r="A110" s="65"/>
      <c r="B110" s="66"/>
      <c r="C110" s="67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</row>
    <row r="111" spans="1:18" ht="12.75" customHeight="1" x14ac:dyDescent="0.2">
      <c r="A111" s="65"/>
      <c r="B111" s="66"/>
      <c r="C111" s="67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</row>
    <row r="112" spans="1:18" ht="12.75" customHeight="1" x14ac:dyDescent="0.2">
      <c r="A112" s="65"/>
      <c r="B112" s="66"/>
      <c r="C112" s="67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</row>
    <row r="113" spans="1:18" ht="12.75" customHeight="1" x14ac:dyDescent="0.2">
      <c r="A113" s="65"/>
      <c r="B113" s="66"/>
      <c r="C113" s="67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</row>
    <row r="114" spans="1:18" ht="12.75" customHeight="1" x14ac:dyDescent="0.2">
      <c r="A114" s="65"/>
      <c r="B114" s="66"/>
      <c r="C114" s="67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</row>
    <row r="115" spans="1:18" ht="12.75" customHeight="1" x14ac:dyDescent="0.2">
      <c r="A115" s="65"/>
      <c r="B115" s="66"/>
      <c r="C115" s="67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</row>
    <row r="116" spans="1:18" ht="12.75" customHeight="1" x14ac:dyDescent="0.2">
      <c r="A116" s="65"/>
      <c r="B116" s="66"/>
      <c r="C116" s="67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</row>
    <row r="117" spans="1:18" ht="12.75" customHeight="1" x14ac:dyDescent="0.2">
      <c r="A117" s="65"/>
      <c r="B117" s="66"/>
      <c r="C117" s="67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</row>
    <row r="118" spans="1:18" ht="12.75" customHeight="1" x14ac:dyDescent="0.2">
      <c r="A118" s="65"/>
      <c r="B118" s="66"/>
      <c r="C118" s="67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</row>
    <row r="119" spans="1:18" ht="12.75" customHeight="1" x14ac:dyDescent="0.2">
      <c r="A119" s="65"/>
      <c r="B119" s="66"/>
      <c r="C119" s="67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</row>
    <row r="120" spans="1:18" ht="12.75" customHeight="1" x14ac:dyDescent="0.2">
      <c r="A120" s="65"/>
      <c r="B120" s="66"/>
      <c r="C120" s="67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</row>
    <row r="121" spans="1:18" ht="12.75" customHeight="1" x14ac:dyDescent="0.2">
      <c r="A121" s="65"/>
      <c r="B121" s="66"/>
      <c r="C121" s="67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</row>
    <row r="122" spans="1:18" ht="12.75" customHeight="1" x14ac:dyDescent="0.2">
      <c r="A122" s="65"/>
      <c r="B122" s="66"/>
      <c r="C122" s="67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</row>
    <row r="123" spans="1:18" ht="12.75" customHeight="1" x14ac:dyDescent="0.2">
      <c r="A123" s="65"/>
      <c r="B123" s="66"/>
      <c r="C123" s="67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</row>
    <row r="124" spans="1:18" ht="12.75" customHeight="1" x14ac:dyDescent="0.2">
      <c r="A124" s="65"/>
      <c r="B124" s="66"/>
      <c r="C124" s="67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</row>
    <row r="125" spans="1:18" ht="12.75" customHeight="1" x14ac:dyDescent="0.2">
      <c r="A125" s="65"/>
      <c r="B125" s="66"/>
      <c r="C125" s="67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</row>
    <row r="126" spans="1:18" ht="12.75" customHeight="1" x14ac:dyDescent="0.2">
      <c r="A126" s="65"/>
      <c r="B126" s="66"/>
      <c r="C126" s="67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</row>
    <row r="127" spans="1:18" ht="12.75" customHeight="1" x14ac:dyDescent="0.2">
      <c r="A127" s="65"/>
      <c r="B127" s="66"/>
      <c r="C127" s="67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</row>
    <row r="128" spans="1:18" ht="12.75" customHeight="1" x14ac:dyDescent="0.2">
      <c r="A128" s="65"/>
      <c r="B128" s="66"/>
      <c r="C128" s="67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</row>
    <row r="129" spans="1:18" ht="12.75" customHeight="1" x14ac:dyDescent="0.2">
      <c r="A129" s="65"/>
      <c r="B129" s="66"/>
      <c r="C129" s="67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</row>
    <row r="130" spans="1:18" ht="12.75" customHeight="1" x14ac:dyDescent="0.2">
      <c r="A130" s="65"/>
      <c r="B130" s="66"/>
      <c r="C130" s="67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</row>
    <row r="131" spans="1:18" ht="12.75" customHeight="1" x14ac:dyDescent="0.2">
      <c r="A131" s="65"/>
      <c r="B131" s="66"/>
      <c r="C131" s="67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</row>
    <row r="132" spans="1:18" ht="12.75" customHeight="1" x14ac:dyDescent="0.2">
      <c r="A132" s="65"/>
      <c r="B132" s="66"/>
      <c r="C132" s="67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</row>
    <row r="133" spans="1:18" ht="12.75" customHeight="1" x14ac:dyDescent="0.2">
      <c r="A133" s="65"/>
      <c r="B133" s="66"/>
      <c r="C133" s="67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</row>
    <row r="134" spans="1:18" ht="12.75" customHeight="1" x14ac:dyDescent="0.2">
      <c r="A134" s="65"/>
      <c r="B134" s="66"/>
      <c r="C134" s="67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</row>
    <row r="135" spans="1:18" ht="12.75" customHeight="1" x14ac:dyDescent="0.2">
      <c r="A135" s="65"/>
      <c r="B135" s="66"/>
      <c r="C135" s="67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</row>
    <row r="136" spans="1:18" ht="12.75" customHeight="1" x14ac:dyDescent="0.2">
      <c r="A136" s="65"/>
      <c r="B136" s="66"/>
      <c r="C136" s="67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</row>
    <row r="137" spans="1:18" ht="12.75" customHeight="1" x14ac:dyDescent="0.2">
      <c r="A137" s="65"/>
      <c r="B137" s="66"/>
      <c r="C137" s="67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</row>
    <row r="138" spans="1:18" ht="12.75" customHeight="1" x14ac:dyDescent="0.2">
      <c r="A138" s="65"/>
      <c r="B138" s="66"/>
      <c r="C138" s="67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</row>
    <row r="139" spans="1:18" ht="12.75" customHeight="1" x14ac:dyDescent="0.2">
      <c r="A139" s="65"/>
      <c r="B139" s="66"/>
      <c r="C139" s="67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</row>
    <row r="140" spans="1:18" ht="12.75" customHeight="1" x14ac:dyDescent="0.2">
      <c r="A140" s="65"/>
      <c r="B140" s="66"/>
      <c r="C140" s="67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</row>
    <row r="141" spans="1:18" ht="12.75" customHeight="1" x14ac:dyDescent="0.2">
      <c r="A141" s="65"/>
      <c r="B141" s="66"/>
      <c r="C141" s="67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</row>
    <row r="142" spans="1:18" ht="12.75" customHeight="1" x14ac:dyDescent="0.2">
      <c r="A142" s="65"/>
      <c r="B142" s="66"/>
      <c r="C142" s="67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</row>
    <row r="143" spans="1:18" ht="12.75" customHeight="1" x14ac:dyDescent="0.2">
      <c r="A143" s="65"/>
      <c r="B143" s="66"/>
      <c r="C143" s="67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</row>
    <row r="144" spans="1:18" ht="12.75" customHeight="1" x14ac:dyDescent="0.2">
      <c r="A144" s="65"/>
      <c r="B144" s="66"/>
      <c r="C144" s="67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</row>
    <row r="145" spans="1:18" ht="12.75" customHeight="1" x14ac:dyDescent="0.2">
      <c r="A145" s="65"/>
      <c r="B145" s="66"/>
      <c r="C145" s="67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</row>
    <row r="146" spans="1:18" ht="12.75" customHeight="1" x14ac:dyDescent="0.2">
      <c r="A146" s="65"/>
      <c r="B146" s="66"/>
      <c r="C146" s="67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</row>
    <row r="147" spans="1:18" ht="12.75" customHeight="1" x14ac:dyDescent="0.2">
      <c r="A147" s="65"/>
      <c r="B147" s="66"/>
      <c r="C147" s="67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</row>
    <row r="148" spans="1:18" ht="12.75" customHeight="1" x14ac:dyDescent="0.2">
      <c r="A148" s="65"/>
      <c r="B148" s="66"/>
      <c r="C148" s="67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</row>
    <row r="149" spans="1:18" ht="12.75" customHeight="1" x14ac:dyDescent="0.2">
      <c r="A149" s="65"/>
      <c r="B149" s="66"/>
      <c r="C149" s="67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</row>
    <row r="150" spans="1:18" ht="12.75" customHeight="1" x14ac:dyDescent="0.2">
      <c r="A150" s="65"/>
      <c r="B150" s="66"/>
      <c r="C150" s="67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</row>
    <row r="151" spans="1:18" ht="12.75" customHeight="1" x14ac:dyDescent="0.2">
      <c r="A151" s="65"/>
      <c r="B151" s="66"/>
      <c r="C151" s="67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</row>
    <row r="152" spans="1:18" ht="12.75" customHeight="1" x14ac:dyDescent="0.2">
      <c r="A152" s="65"/>
      <c r="B152" s="66"/>
      <c r="C152" s="67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</row>
    <row r="153" spans="1:18" ht="12.75" customHeight="1" x14ac:dyDescent="0.2">
      <c r="A153" s="65"/>
      <c r="B153" s="66"/>
      <c r="C153" s="67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</row>
    <row r="154" spans="1:18" ht="12.75" customHeight="1" x14ac:dyDescent="0.2">
      <c r="A154" s="65"/>
      <c r="B154" s="66"/>
      <c r="C154" s="67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</row>
    <row r="155" spans="1:18" ht="12.75" customHeight="1" x14ac:dyDescent="0.2">
      <c r="A155" s="65"/>
      <c r="B155" s="66"/>
      <c r="C155" s="67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</row>
    <row r="156" spans="1:18" ht="12.75" customHeight="1" x14ac:dyDescent="0.2">
      <c r="A156" s="65"/>
      <c r="B156" s="66"/>
      <c r="C156" s="67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</row>
    <row r="157" spans="1:18" ht="12.75" customHeight="1" x14ac:dyDescent="0.2">
      <c r="A157" s="65"/>
      <c r="B157" s="66"/>
      <c r="C157" s="67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</row>
    <row r="158" spans="1:18" ht="12.75" customHeight="1" x14ac:dyDescent="0.2">
      <c r="A158" s="65"/>
      <c r="B158" s="66"/>
      <c r="C158" s="67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</row>
    <row r="159" spans="1:18" ht="12.75" customHeight="1" x14ac:dyDescent="0.2">
      <c r="A159" s="65"/>
      <c r="B159" s="66"/>
      <c r="C159" s="67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</row>
    <row r="160" spans="1:18" ht="12.75" customHeight="1" x14ac:dyDescent="0.2">
      <c r="A160" s="65"/>
      <c r="B160" s="66"/>
      <c r="C160" s="67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</row>
    <row r="161" spans="1:18" ht="12.75" customHeight="1" x14ac:dyDescent="0.2">
      <c r="A161" s="65"/>
      <c r="B161" s="66"/>
      <c r="C161" s="67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</row>
    <row r="162" spans="1:18" ht="12.75" customHeight="1" x14ac:dyDescent="0.2">
      <c r="A162" s="65"/>
      <c r="B162" s="66"/>
      <c r="C162" s="67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</row>
    <row r="163" spans="1:18" ht="12.75" customHeight="1" x14ac:dyDescent="0.2">
      <c r="A163" s="65"/>
      <c r="B163" s="66"/>
      <c r="C163" s="67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</row>
    <row r="164" spans="1:18" ht="12.75" customHeight="1" x14ac:dyDescent="0.2">
      <c r="A164" s="65"/>
      <c r="B164" s="66"/>
      <c r="C164" s="67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</row>
    <row r="165" spans="1:18" ht="12.75" customHeight="1" x14ac:dyDescent="0.2">
      <c r="A165" s="65"/>
      <c r="B165" s="66"/>
      <c r="C165" s="67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</row>
    <row r="166" spans="1:18" ht="12.75" customHeight="1" x14ac:dyDescent="0.2">
      <c r="A166" s="65"/>
      <c r="B166" s="66"/>
      <c r="C166" s="67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</row>
    <row r="167" spans="1:18" ht="12.75" customHeight="1" x14ac:dyDescent="0.2">
      <c r="A167" s="65"/>
      <c r="B167" s="66"/>
      <c r="C167" s="67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</row>
    <row r="168" spans="1:18" ht="12.75" customHeight="1" x14ac:dyDescent="0.2">
      <c r="A168" s="65"/>
      <c r="B168" s="66"/>
      <c r="C168" s="67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</row>
    <row r="169" spans="1:18" ht="12.75" customHeight="1" x14ac:dyDescent="0.2">
      <c r="A169" s="65"/>
      <c r="B169" s="66"/>
      <c r="C169" s="67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</row>
    <row r="170" spans="1:18" ht="12.75" customHeight="1" x14ac:dyDescent="0.2">
      <c r="A170" s="65"/>
      <c r="B170" s="66"/>
      <c r="C170" s="67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</row>
    <row r="171" spans="1:18" ht="12.75" customHeight="1" x14ac:dyDescent="0.2">
      <c r="A171" s="65"/>
      <c r="B171" s="66"/>
      <c r="C171" s="67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</row>
    <row r="172" spans="1:18" ht="12.75" customHeight="1" x14ac:dyDescent="0.2">
      <c r="A172" s="65"/>
      <c r="B172" s="66"/>
      <c r="C172" s="67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</row>
    <row r="173" spans="1:18" ht="12.75" customHeight="1" x14ac:dyDescent="0.2">
      <c r="A173" s="65"/>
      <c r="B173" s="66"/>
      <c r="C173" s="67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</row>
    <row r="174" spans="1:18" ht="12.75" customHeight="1" x14ac:dyDescent="0.2">
      <c r="A174" s="65"/>
      <c r="B174" s="66"/>
      <c r="C174" s="67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</row>
    <row r="175" spans="1:18" ht="12.75" customHeight="1" x14ac:dyDescent="0.2">
      <c r="A175" s="65"/>
      <c r="B175" s="66"/>
      <c r="C175" s="67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</row>
    <row r="176" spans="1:18" ht="12.75" customHeight="1" x14ac:dyDescent="0.2">
      <c r="A176" s="65"/>
      <c r="B176" s="66"/>
      <c r="C176" s="67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</row>
    <row r="177" spans="1:18" ht="12.75" customHeight="1" x14ac:dyDescent="0.2">
      <c r="A177" s="65"/>
      <c r="B177" s="66"/>
      <c r="C177" s="67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</row>
    <row r="178" spans="1:18" ht="12.75" customHeight="1" x14ac:dyDescent="0.2">
      <c r="A178" s="65"/>
      <c r="B178" s="66"/>
      <c r="C178" s="67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1:18" ht="12.75" customHeight="1" x14ac:dyDescent="0.2">
      <c r="A179" s="65"/>
      <c r="B179" s="66"/>
      <c r="C179" s="67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</row>
    <row r="180" spans="1:18" ht="12.75" customHeight="1" x14ac:dyDescent="0.2">
      <c r="A180" s="65"/>
      <c r="B180" s="66"/>
      <c r="C180" s="67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</row>
    <row r="181" spans="1:18" ht="12.75" customHeight="1" x14ac:dyDescent="0.2">
      <c r="A181" s="65"/>
      <c r="B181" s="66"/>
      <c r="C181" s="67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</row>
    <row r="182" spans="1:18" ht="12.75" customHeight="1" x14ac:dyDescent="0.2">
      <c r="A182" s="65"/>
      <c r="B182" s="66"/>
      <c r="C182" s="67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1:18" ht="12.75" customHeight="1" x14ac:dyDescent="0.2">
      <c r="A183" s="65"/>
      <c r="B183" s="66"/>
      <c r="C183" s="67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</row>
    <row r="184" spans="1:18" ht="12.75" customHeight="1" x14ac:dyDescent="0.2">
      <c r="A184" s="65"/>
      <c r="B184" s="66"/>
      <c r="C184" s="67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</row>
    <row r="185" spans="1:18" ht="12.75" customHeight="1" x14ac:dyDescent="0.2">
      <c r="A185" s="65"/>
      <c r="B185" s="66"/>
      <c r="C185" s="67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</row>
    <row r="186" spans="1:18" ht="12.75" customHeight="1" x14ac:dyDescent="0.2">
      <c r="A186" s="65"/>
      <c r="B186" s="66"/>
      <c r="C186" s="67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1:18" ht="12.75" customHeight="1" x14ac:dyDescent="0.2">
      <c r="A187" s="65"/>
      <c r="B187" s="66"/>
      <c r="C187" s="67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</row>
    <row r="188" spans="1:18" ht="12.75" customHeight="1" x14ac:dyDescent="0.2">
      <c r="A188" s="65"/>
      <c r="B188" s="66"/>
      <c r="C188" s="67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</row>
    <row r="189" spans="1:18" ht="12.75" customHeight="1" x14ac:dyDescent="0.2">
      <c r="A189" s="65"/>
      <c r="B189" s="66"/>
      <c r="C189" s="67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</row>
    <row r="190" spans="1:18" ht="12.75" customHeight="1" x14ac:dyDescent="0.2">
      <c r="A190" s="65"/>
      <c r="B190" s="66"/>
      <c r="C190" s="67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1:18" ht="12.75" customHeight="1" x14ac:dyDescent="0.2">
      <c r="A191" s="65"/>
      <c r="B191" s="66"/>
      <c r="C191" s="67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</row>
    <row r="192" spans="1:18" ht="12.75" customHeight="1" x14ac:dyDescent="0.2">
      <c r="A192" s="65"/>
      <c r="B192" s="66"/>
      <c r="C192" s="67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</row>
    <row r="193" spans="1:18" ht="12.75" customHeight="1" x14ac:dyDescent="0.2">
      <c r="A193" s="65"/>
      <c r="B193" s="66"/>
      <c r="C193" s="67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</row>
    <row r="194" spans="1:18" ht="12.75" customHeight="1" x14ac:dyDescent="0.2">
      <c r="A194" s="65"/>
      <c r="B194" s="66"/>
      <c r="C194" s="67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1:18" ht="12.75" customHeight="1" x14ac:dyDescent="0.2">
      <c r="A195" s="65"/>
      <c r="B195" s="66"/>
      <c r="C195" s="67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</row>
    <row r="196" spans="1:18" ht="12.75" customHeight="1" x14ac:dyDescent="0.2">
      <c r="A196" s="65"/>
      <c r="B196" s="66"/>
      <c r="C196" s="67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</row>
    <row r="197" spans="1:18" ht="12.75" customHeight="1" x14ac:dyDescent="0.2">
      <c r="A197" s="65"/>
      <c r="B197" s="66"/>
      <c r="C197" s="67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</row>
    <row r="198" spans="1:18" ht="12.75" customHeight="1" x14ac:dyDescent="0.2">
      <c r="A198" s="65"/>
      <c r="B198" s="66"/>
      <c r="C198" s="67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1:18" ht="12.75" customHeight="1" x14ac:dyDescent="0.2">
      <c r="A199" s="65"/>
      <c r="B199" s="66"/>
      <c r="C199" s="67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</row>
    <row r="200" spans="1:18" ht="12.75" customHeight="1" x14ac:dyDescent="0.2">
      <c r="A200" s="65"/>
      <c r="B200" s="66"/>
      <c r="C200" s="67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</row>
    <row r="201" spans="1:18" ht="12.75" customHeight="1" x14ac:dyDescent="0.2">
      <c r="A201" s="65"/>
      <c r="B201" s="66"/>
      <c r="C201" s="67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</row>
    <row r="202" spans="1:18" ht="12.75" customHeight="1" x14ac:dyDescent="0.2">
      <c r="A202" s="65"/>
      <c r="B202" s="66"/>
      <c r="C202" s="67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1:18" ht="12.75" customHeight="1" x14ac:dyDescent="0.2">
      <c r="A203" s="65"/>
      <c r="B203" s="66"/>
      <c r="C203" s="67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</row>
    <row r="204" spans="1:18" ht="12.75" customHeight="1" x14ac:dyDescent="0.2">
      <c r="A204" s="65"/>
      <c r="B204" s="66"/>
      <c r="C204" s="67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</row>
    <row r="205" spans="1:18" ht="12.75" customHeight="1" x14ac:dyDescent="0.2">
      <c r="A205" s="65"/>
      <c r="B205" s="66"/>
      <c r="C205" s="67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</row>
    <row r="206" spans="1:18" ht="12.75" customHeight="1" x14ac:dyDescent="0.2">
      <c r="A206" s="65"/>
      <c r="B206" s="66"/>
      <c r="C206" s="67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1:18" ht="12.75" customHeight="1" x14ac:dyDescent="0.2">
      <c r="A207" s="65"/>
      <c r="B207" s="66"/>
      <c r="C207" s="67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</row>
    <row r="208" spans="1:18" ht="12.75" customHeight="1" x14ac:dyDescent="0.2">
      <c r="A208" s="65"/>
      <c r="B208" s="66"/>
      <c r="C208" s="67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</row>
    <row r="209" spans="1:18" ht="12.75" customHeight="1" x14ac:dyDescent="0.2">
      <c r="A209" s="65"/>
      <c r="B209" s="66"/>
      <c r="C209" s="67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</row>
    <row r="210" spans="1:18" ht="12.75" customHeight="1" x14ac:dyDescent="0.2">
      <c r="A210" s="65"/>
      <c r="B210" s="66"/>
      <c r="C210" s="67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1:18" ht="12.75" customHeight="1" x14ac:dyDescent="0.2">
      <c r="A211" s="65"/>
      <c r="B211" s="66"/>
      <c r="C211" s="67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</row>
    <row r="212" spans="1:18" ht="12.75" customHeight="1" x14ac:dyDescent="0.2">
      <c r="A212" s="65"/>
      <c r="B212" s="66"/>
      <c r="C212" s="67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</row>
    <row r="213" spans="1:18" ht="12.75" customHeight="1" x14ac:dyDescent="0.2">
      <c r="A213" s="65"/>
      <c r="B213" s="66"/>
      <c r="C213" s="67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</row>
    <row r="214" spans="1:18" ht="12.75" customHeight="1" x14ac:dyDescent="0.2">
      <c r="A214" s="65"/>
      <c r="B214" s="66"/>
      <c r="C214" s="67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1:18" ht="12.75" customHeight="1" x14ac:dyDescent="0.2">
      <c r="A215" s="65"/>
      <c r="B215" s="66"/>
      <c r="C215" s="67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</row>
    <row r="216" spans="1:18" ht="12.75" customHeight="1" x14ac:dyDescent="0.2">
      <c r="A216" s="65"/>
      <c r="B216" s="66"/>
      <c r="C216" s="67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</row>
    <row r="217" spans="1:18" ht="12.75" customHeight="1" x14ac:dyDescent="0.2">
      <c r="A217" s="65"/>
      <c r="B217" s="66"/>
      <c r="C217" s="67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</row>
    <row r="218" spans="1:18" ht="12.75" customHeight="1" x14ac:dyDescent="0.2">
      <c r="A218" s="65"/>
      <c r="B218" s="66"/>
      <c r="C218" s="67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1:18" ht="12.75" customHeight="1" x14ac:dyDescent="0.2">
      <c r="A219" s="65"/>
      <c r="B219" s="66"/>
      <c r="C219" s="67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</row>
    <row r="220" spans="1:18" ht="12.75" customHeight="1" x14ac:dyDescent="0.2">
      <c r="A220" s="65"/>
      <c r="B220" s="66"/>
      <c r="C220" s="67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</row>
    <row r="221" spans="1:18" ht="12.75" customHeight="1" x14ac:dyDescent="0.2">
      <c r="A221" s="65"/>
      <c r="B221" s="66"/>
      <c r="C221" s="67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</row>
    <row r="222" spans="1:18" ht="12.75" customHeight="1" x14ac:dyDescent="0.2">
      <c r="A222" s="65"/>
      <c r="B222" s="66"/>
      <c r="C222" s="67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1:18" ht="12.75" customHeight="1" x14ac:dyDescent="0.2">
      <c r="A223" s="65"/>
      <c r="B223" s="66"/>
      <c r="C223" s="67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</row>
    <row r="224" spans="1:18" ht="12.75" customHeight="1" x14ac:dyDescent="0.2">
      <c r="A224" s="65"/>
      <c r="B224" s="66"/>
      <c r="C224" s="67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</row>
    <row r="225" spans="1:18" ht="12.75" customHeight="1" x14ac:dyDescent="0.2">
      <c r="A225" s="65"/>
      <c r="B225" s="66"/>
      <c r="C225" s="67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</row>
    <row r="226" spans="1:18" ht="12.75" customHeight="1" x14ac:dyDescent="0.2">
      <c r="A226" s="65"/>
      <c r="B226" s="66"/>
      <c r="C226" s="67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1:18" ht="12.75" customHeight="1" x14ac:dyDescent="0.2">
      <c r="A227" s="65"/>
      <c r="B227" s="66"/>
      <c r="C227" s="67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</row>
    <row r="228" spans="1:18" ht="12.75" customHeight="1" x14ac:dyDescent="0.2">
      <c r="A228" s="65"/>
      <c r="B228" s="66"/>
      <c r="C228" s="67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</row>
    <row r="229" spans="1:18" ht="12.75" customHeight="1" x14ac:dyDescent="0.2">
      <c r="A229" s="65"/>
      <c r="B229" s="66"/>
      <c r="C229" s="67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</row>
    <row r="230" spans="1:18" ht="12.75" customHeight="1" x14ac:dyDescent="0.2">
      <c r="A230" s="65"/>
      <c r="B230" s="66"/>
      <c r="C230" s="67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1:18" ht="12.75" customHeight="1" x14ac:dyDescent="0.2">
      <c r="A231" s="65"/>
      <c r="B231" s="66"/>
      <c r="C231" s="67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</row>
    <row r="232" spans="1:18" ht="12.75" customHeight="1" x14ac:dyDescent="0.2">
      <c r="A232" s="65"/>
      <c r="B232" s="66"/>
      <c r="C232" s="67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</row>
    <row r="233" spans="1:18" ht="12.75" customHeight="1" x14ac:dyDescent="0.2">
      <c r="A233" s="65"/>
      <c r="B233" s="66"/>
      <c r="C233" s="67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</row>
    <row r="234" spans="1:18" ht="12.75" customHeight="1" x14ac:dyDescent="0.2">
      <c r="A234" s="65"/>
      <c r="B234" s="66"/>
      <c r="C234" s="67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1:18" ht="12.75" customHeight="1" x14ac:dyDescent="0.2">
      <c r="A235" s="65"/>
      <c r="B235" s="66"/>
      <c r="C235" s="67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</row>
    <row r="236" spans="1:18" ht="12.75" customHeight="1" x14ac:dyDescent="0.2">
      <c r="A236" s="65"/>
      <c r="B236" s="66"/>
      <c r="C236" s="67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</row>
    <row r="237" spans="1:18" ht="12.75" customHeight="1" x14ac:dyDescent="0.2">
      <c r="A237" s="65"/>
      <c r="B237" s="66"/>
      <c r="C237" s="67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</row>
    <row r="238" spans="1:18" ht="12.75" customHeight="1" x14ac:dyDescent="0.2">
      <c r="A238" s="65"/>
      <c r="B238" s="66"/>
      <c r="C238" s="67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1:18" ht="12.75" customHeight="1" x14ac:dyDescent="0.2">
      <c r="A239" s="65"/>
      <c r="B239" s="66"/>
      <c r="C239" s="67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</row>
    <row r="240" spans="1:18" ht="12.75" customHeight="1" x14ac:dyDescent="0.2">
      <c r="A240" s="65"/>
      <c r="B240" s="66"/>
      <c r="C240" s="67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</row>
    <row r="241" spans="1:18" ht="12.75" customHeight="1" x14ac:dyDescent="0.2">
      <c r="A241" s="65"/>
      <c r="B241" s="66"/>
      <c r="C241" s="67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</row>
    <row r="242" spans="1:18" ht="12.75" customHeight="1" x14ac:dyDescent="0.2">
      <c r="A242" s="65"/>
      <c r="B242" s="66"/>
      <c r="C242" s="67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1:18" ht="12.75" customHeight="1" x14ac:dyDescent="0.2">
      <c r="A243" s="65"/>
      <c r="B243" s="66"/>
      <c r="C243" s="67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</row>
    <row r="244" spans="1:18" ht="12.75" customHeight="1" x14ac:dyDescent="0.2">
      <c r="A244" s="65"/>
      <c r="B244" s="66"/>
      <c r="C244" s="67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</row>
    <row r="245" spans="1:18" ht="12.75" customHeight="1" x14ac:dyDescent="0.2">
      <c r="A245" s="65"/>
      <c r="B245" s="66"/>
      <c r="C245" s="67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</row>
    <row r="246" spans="1:18" ht="12.75" customHeight="1" x14ac:dyDescent="0.2">
      <c r="A246" s="65"/>
      <c r="B246" s="66"/>
      <c r="C246" s="67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1:18" ht="12.75" customHeight="1" x14ac:dyDescent="0.2">
      <c r="A247" s="65"/>
      <c r="B247" s="66"/>
      <c r="C247" s="67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</row>
    <row r="248" spans="1:18" ht="12.75" customHeight="1" x14ac:dyDescent="0.2">
      <c r="A248" s="65"/>
      <c r="B248" s="66"/>
      <c r="C248" s="67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</row>
    <row r="249" spans="1:18" ht="12.75" customHeight="1" x14ac:dyDescent="0.2">
      <c r="A249" s="65"/>
      <c r="B249" s="66"/>
      <c r="C249" s="67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</row>
    <row r="250" spans="1:18" ht="12.75" customHeight="1" x14ac:dyDescent="0.2">
      <c r="A250" s="65"/>
      <c r="B250" s="66"/>
      <c r="C250" s="67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1:18" ht="12.75" customHeight="1" x14ac:dyDescent="0.2">
      <c r="A251" s="65"/>
      <c r="B251" s="66"/>
      <c r="C251" s="67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</row>
    <row r="252" spans="1:18" ht="12.75" customHeight="1" x14ac:dyDescent="0.2">
      <c r="A252" s="65"/>
      <c r="B252" s="66"/>
      <c r="C252" s="67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</row>
    <row r="253" spans="1:18" ht="12.75" customHeight="1" x14ac:dyDescent="0.2">
      <c r="A253" s="65"/>
      <c r="B253" s="66"/>
      <c r="C253" s="67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</row>
    <row r="254" spans="1:18" ht="12.75" customHeight="1" x14ac:dyDescent="0.2">
      <c r="A254" s="65"/>
      <c r="B254" s="66"/>
      <c r="C254" s="67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1:18" ht="12.75" customHeight="1" x14ac:dyDescent="0.2">
      <c r="A255" s="65"/>
      <c r="B255" s="66"/>
      <c r="C255" s="67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</row>
    <row r="256" spans="1:18" ht="12.75" customHeight="1" x14ac:dyDescent="0.2">
      <c r="A256" s="65"/>
      <c r="B256" s="66"/>
      <c r="C256" s="67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</row>
    <row r="257" spans="1:18" ht="12.75" customHeight="1" x14ac:dyDescent="0.2">
      <c r="A257" s="65"/>
      <c r="B257" s="66"/>
      <c r="C257" s="67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</row>
    <row r="258" spans="1:18" ht="12.75" customHeight="1" x14ac:dyDescent="0.2">
      <c r="A258" s="65"/>
      <c r="B258" s="66"/>
      <c r="C258" s="67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1:18" ht="12.75" customHeight="1" x14ac:dyDescent="0.2">
      <c r="A259" s="65"/>
      <c r="B259" s="66"/>
      <c r="C259" s="67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</row>
    <row r="260" spans="1:18" ht="12.75" customHeight="1" x14ac:dyDescent="0.2">
      <c r="A260" s="65"/>
      <c r="B260" s="66"/>
      <c r="C260" s="67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</row>
    <row r="261" spans="1:18" ht="12.75" customHeight="1" x14ac:dyDescent="0.2">
      <c r="A261" s="65"/>
      <c r="B261" s="66"/>
      <c r="C261" s="67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</row>
    <row r="262" spans="1:18" ht="12.75" customHeight="1" x14ac:dyDescent="0.2">
      <c r="A262" s="65"/>
      <c r="B262" s="66"/>
      <c r="C262" s="67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1:18" ht="12.75" customHeight="1" x14ac:dyDescent="0.2">
      <c r="A263" s="65"/>
      <c r="B263" s="66"/>
      <c r="C263" s="67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</row>
    <row r="264" spans="1:18" ht="12.75" customHeight="1" x14ac:dyDescent="0.2">
      <c r="A264" s="65"/>
      <c r="B264" s="66"/>
      <c r="C264" s="67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</row>
    <row r="265" spans="1:18" ht="12.75" customHeight="1" x14ac:dyDescent="0.2">
      <c r="A265" s="65"/>
      <c r="B265" s="66"/>
      <c r="C265" s="67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</row>
    <row r="266" spans="1:18" ht="12.75" customHeight="1" x14ac:dyDescent="0.2">
      <c r="A266" s="65"/>
      <c r="B266" s="66"/>
      <c r="C266" s="67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1:18" ht="12.75" customHeight="1" x14ac:dyDescent="0.2">
      <c r="A267" s="65"/>
      <c r="B267" s="66"/>
      <c r="C267" s="67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</row>
    <row r="268" spans="1:18" ht="12.75" customHeight="1" x14ac:dyDescent="0.2">
      <c r="A268" s="65"/>
      <c r="B268" s="66"/>
      <c r="C268" s="67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</row>
    <row r="269" spans="1:18" ht="12.75" customHeight="1" x14ac:dyDescent="0.2">
      <c r="A269" s="65"/>
      <c r="B269" s="66"/>
      <c r="C269" s="67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</row>
    <row r="270" spans="1:18" ht="12.75" customHeight="1" x14ac:dyDescent="0.2">
      <c r="A270" s="65"/>
      <c r="B270" s="66"/>
      <c r="C270" s="67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1:18" ht="12.75" customHeight="1" x14ac:dyDescent="0.2">
      <c r="A271" s="65"/>
      <c r="B271" s="66"/>
      <c r="C271" s="67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</row>
    <row r="272" spans="1:18" ht="12.75" customHeight="1" x14ac:dyDescent="0.2">
      <c r="A272" s="65"/>
      <c r="B272" s="66"/>
      <c r="C272" s="67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</row>
    <row r="273" spans="1:18" ht="12.75" customHeight="1" x14ac:dyDescent="0.2">
      <c r="A273" s="65"/>
      <c r="B273" s="66"/>
      <c r="C273" s="67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</row>
    <row r="274" spans="1:18" ht="12.75" customHeight="1" x14ac:dyDescent="0.2">
      <c r="A274" s="65"/>
      <c r="B274" s="66"/>
      <c r="C274" s="67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1:18" ht="12.75" customHeight="1" x14ac:dyDescent="0.2">
      <c r="A275" s="65"/>
      <c r="B275" s="66"/>
      <c r="C275" s="67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</row>
    <row r="276" spans="1:18" ht="12.75" customHeight="1" x14ac:dyDescent="0.2">
      <c r="A276" s="65"/>
      <c r="B276" s="66"/>
      <c r="C276" s="67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</row>
    <row r="277" spans="1:18" ht="12.75" customHeight="1" x14ac:dyDescent="0.2">
      <c r="A277" s="65"/>
      <c r="B277" s="66"/>
      <c r="C277" s="67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</row>
    <row r="278" spans="1:18" ht="12.75" customHeight="1" x14ac:dyDescent="0.2">
      <c r="A278" s="65"/>
      <c r="B278" s="66"/>
      <c r="C278" s="67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1:18" ht="12.75" customHeight="1" x14ac:dyDescent="0.2">
      <c r="A279" s="65"/>
      <c r="B279" s="66"/>
      <c r="C279" s="67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</row>
    <row r="280" spans="1:18" ht="12.75" customHeight="1" x14ac:dyDescent="0.2">
      <c r="A280" s="65"/>
      <c r="B280" s="66"/>
      <c r="C280" s="67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</row>
    <row r="281" spans="1:18" ht="12.75" customHeight="1" x14ac:dyDescent="0.2">
      <c r="A281" s="65"/>
      <c r="B281" s="66"/>
      <c r="C281" s="67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</row>
    <row r="282" spans="1:18" ht="12.75" customHeight="1" x14ac:dyDescent="0.2">
      <c r="A282" s="65"/>
      <c r="B282" s="66"/>
      <c r="C282" s="67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1:18" ht="12.75" customHeight="1" x14ac:dyDescent="0.2">
      <c r="A283" s="65"/>
      <c r="B283" s="66"/>
      <c r="C283" s="67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</row>
    <row r="284" spans="1:18" ht="12.75" customHeight="1" x14ac:dyDescent="0.2">
      <c r="A284" s="65"/>
      <c r="B284" s="66"/>
      <c r="C284" s="67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</row>
    <row r="285" spans="1:18" ht="12.75" customHeight="1" x14ac:dyDescent="0.2">
      <c r="A285" s="65"/>
      <c r="B285" s="66"/>
      <c r="C285" s="67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</row>
    <row r="286" spans="1:18" ht="12.75" customHeight="1" x14ac:dyDescent="0.2">
      <c r="A286" s="65"/>
      <c r="B286" s="66"/>
      <c r="C286" s="67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1:18" ht="12.75" customHeight="1" x14ac:dyDescent="0.2">
      <c r="A287" s="65"/>
      <c r="B287" s="66"/>
      <c r="C287" s="67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</row>
    <row r="288" spans="1:18" ht="12.75" customHeight="1" x14ac:dyDescent="0.2">
      <c r="A288" s="65"/>
      <c r="B288" s="66"/>
      <c r="C288" s="67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</row>
    <row r="289" spans="1:18" ht="12.75" customHeight="1" x14ac:dyDescent="0.2">
      <c r="A289" s="65"/>
      <c r="B289" s="66"/>
      <c r="C289" s="67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</row>
    <row r="290" spans="1:18" ht="12.75" customHeight="1" x14ac:dyDescent="0.2">
      <c r="A290" s="65"/>
      <c r="B290" s="66"/>
      <c r="C290" s="67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1:18" ht="12.75" customHeight="1" x14ac:dyDescent="0.2">
      <c r="A291" s="65"/>
      <c r="B291" s="66"/>
      <c r="C291" s="67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</row>
    <row r="292" spans="1:18" ht="12.75" customHeight="1" x14ac:dyDescent="0.2">
      <c r="A292" s="65"/>
      <c r="B292" s="66"/>
      <c r="C292" s="67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</row>
    <row r="293" spans="1:18" ht="12.75" customHeight="1" x14ac:dyDescent="0.2">
      <c r="A293" s="65"/>
      <c r="B293" s="66"/>
      <c r="C293" s="67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</row>
    <row r="294" spans="1:18" ht="12.75" customHeight="1" x14ac:dyDescent="0.2">
      <c r="A294" s="65"/>
      <c r="B294" s="66"/>
      <c r="C294" s="67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1:18" ht="12.75" customHeight="1" x14ac:dyDescent="0.2">
      <c r="A295" s="65"/>
      <c r="B295" s="66"/>
      <c r="C295" s="67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</row>
    <row r="296" spans="1:18" ht="12.75" customHeight="1" x14ac:dyDescent="0.2">
      <c r="A296" s="65"/>
      <c r="B296" s="66"/>
      <c r="C296" s="67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</row>
    <row r="297" spans="1:18" ht="12.75" customHeight="1" x14ac:dyDescent="0.2">
      <c r="A297" s="65"/>
      <c r="B297" s="66"/>
      <c r="C297" s="67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</row>
    <row r="298" spans="1:18" ht="12.75" customHeight="1" x14ac:dyDescent="0.2">
      <c r="A298" s="65"/>
      <c r="B298" s="66"/>
      <c r="C298" s="67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1:18" ht="12.75" customHeight="1" x14ac:dyDescent="0.2">
      <c r="A299" s="65"/>
      <c r="B299" s="66"/>
      <c r="C299" s="67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</row>
    <row r="300" spans="1:18" ht="12.75" customHeight="1" x14ac:dyDescent="0.2">
      <c r="A300" s="65"/>
      <c r="B300" s="66"/>
      <c r="C300" s="67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</row>
    <row r="301" spans="1:18" ht="12.75" customHeight="1" x14ac:dyDescent="0.2">
      <c r="A301" s="65"/>
      <c r="B301" s="66"/>
      <c r="C301" s="67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</row>
    <row r="302" spans="1:18" ht="12.75" customHeight="1" x14ac:dyDescent="0.2">
      <c r="A302" s="65"/>
      <c r="B302" s="66"/>
      <c r="C302" s="67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1:18" ht="12.75" customHeight="1" x14ac:dyDescent="0.2">
      <c r="A303" s="65"/>
      <c r="B303" s="66"/>
      <c r="C303" s="67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</row>
    <row r="304" spans="1:18" ht="12.75" customHeight="1" x14ac:dyDescent="0.2">
      <c r="A304" s="65"/>
      <c r="B304" s="66"/>
      <c r="C304" s="67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</row>
    <row r="305" spans="1:18" ht="12.75" customHeight="1" x14ac:dyDescent="0.2">
      <c r="A305" s="65"/>
      <c r="B305" s="66"/>
      <c r="C305" s="67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</row>
    <row r="306" spans="1:18" ht="12.75" customHeight="1" x14ac:dyDescent="0.2">
      <c r="A306" s="65"/>
      <c r="B306" s="66"/>
      <c r="C306" s="67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1:18" ht="12.75" customHeight="1" x14ac:dyDescent="0.2">
      <c r="A307" s="65"/>
      <c r="B307" s="66"/>
      <c r="C307" s="67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</row>
    <row r="308" spans="1:18" ht="12.75" customHeight="1" x14ac:dyDescent="0.2">
      <c r="A308" s="65"/>
      <c r="B308" s="66"/>
      <c r="C308" s="67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</row>
    <row r="309" spans="1:18" ht="12.75" customHeight="1" x14ac:dyDescent="0.2">
      <c r="A309" s="65"/>
      <c r="B309" s="66"/>
      <c r="C309" s="67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</row>
    <row r="310" spans="1:18" ht="12.75" customHeight="1" x14ac:dyDescent="0.2">
      <c r="A310" s="65"/>
      <c r="B310" s="66"/>
      <c r="C310" s="67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1:18" ht="12.75" customHeight="1" x14ac:dyDescent="0.2">
      <c r="A311" s="65"/>
      <c r="B311" s="66"/>
      <c r="C311" s="67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</row>
    <row r="312" spans="1:18" ht="12.75" customHeight="1" x14ac:dyDescent="0.2">
      <c r="A312" s="65"/>
      <c r="B312" s="66"/>
      <c r="C312" s="67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</row>
    <row r="313" spans="1:18" ht="12.75" customHeight="1" x14ac:dyDescent="0.2">
      <c r="A313" s="65"/>
      <c r="B313" s="66"/>
      <c r="C313" s="67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</row>
    <row r="314" spans="1:18" ht="12.75" customHeight="1" x14ac:dyDescent="0.2">
      <c r="A314" s="65"/>
      <c r="B314" s="66"/>
      <c r="C314" s="67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1:18" ht="12.75" customHeight="1" x14ac:dyDescent="0.2">
      <c r="A315" s="65"/>
      <c r="B315" s="66"/>
      <c r="C315" s="67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</row>
    <row r="316" spans="1:18" ht="12.75" customHeight="1" x14ac:dyDescent="0.2">
      <c r="A316" s="65"/>
      <c r="B316" s="66"/>
      <c r="C316" s="67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</row>
    <row r="317" spans="1:18" ht="12.75" customHeight="1" x14ac:dyDescent="0.2">
      <c r="A317" s="65"/>
      <c r="B317" s="66"/>
      <c r="C317" s="67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</row>
    <row r="318" spans="1:18" ht="12.75" customHeight="1" x14ac:dyDescent="0.2">
      <c r="A318" s="65"/>
      <c r="B318" s="66"/>
      <c r="C318" s="67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1:18" ht="12.75" customHeight="1" x14ac:dyDescent="0.2">
      <c r="A319" s="65"/>
      <c r="B319" s="66"/>
      <c r="C319" s="67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</row>
    <row r="320" spans="1:18" ht="12.75" customHeight="1" x14ac:dyDescent="0.2">
      <c r="A320" s="65"/>
      <c r="B320" s="66"/>
      <c r="C320" s="67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</row>
    <row r="321" spans="1:18" ht="12.75" customHeight="1" x14ac:dyDescent="0.2">
      <c r="A321" s="65"/>
      <c r="B321" s="66"/>
      <c r="C321" s="67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</row>
    <row r="322" spans="1:18" ht="12.75" customHeight="1" x14ac:dyDescent="0.2">
      <c r="A322" s="65"/>
      <c r="B322" s="66"/>
      <c r="C322" s="67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1:18" ht="12.75" customHeight="1" x14ac:dyDescent="0.2">
      <c r="A323" s="65"/>
      <c r="B323" s="66"/>
      <c r="C323" s="67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</row>
    <row r="324" spans="1:18" ht="12.75" customHeight="1" x14ac:dyDescent="0.2">
      <c r="A324" s="65"/>
      <c r="B324" s="66"/>
      <c r="C324" s="67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</row>
    <row r="325" spans="1:18" ht="12.75" customHeight="1" x14ac:dyDescent="0.2">
      <c r="A325" s="65"/>
      <c r="B325" s="66"/>
      <c r="C325" s="67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</row>
    <row r="326" spans="1:18" ht="12.75" customHeight="1" x14ac:dyDescent="0.2">
      <c r="A326" s="65"/>
      <c r="B326" s="66"/>
      <c r="C326" s="67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1:18" ht="12.75" customHeight="1" x14ac:dyDescent="0.2">
      <c r="A327" s="65"/>
      <c r="B327" s="66"/>
      <c r="C327" s="67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</row>
    <row r="328" spans="1:18" ht="12.75" customHeight="1" x14ac:dyDescent="0.2">
      <c r="A328" s="65"/>
      <c r="B328" s="66"/>
      <c r="C328" s="67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</row>
    <row r="329" spans="1:18" ht="12.75" customHeight="1" x14ac:dyDescent="0.2">
      <c r="A329" s="65"/>
      <c r="B329" s="66"/>
      <c r="C329" s="67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</row>
    <row r="330" spans="1:18" ht="12.75" customHeight="1" x14ac:dyDescent="0.2">
      <c r="A330" s="65"/>
      <c r="B330" s="66"/>
      <c r="C330" s="67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1:18" ht="12.75" customHeight="1" x14ac:dyDescent="0.2">
      <c r="A331" s="65"/>
      <c r="B331" s="66"/>
      <c r="C331" s="67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</row>
    <row r="332" spans="1:18" ht="12.75" customHeight="1" x14ac:dyDescent="0.2">
      <c r="A332" s="65"/>
      <c r="B332" s="66"/>
      <c r="C332" s="67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</row>
    <row r="333" spans="1:18" ht="12.75" customHeight="1" x14ac:dyDescent="0.2">
      <c r="A333" s="65"/>
      <c r="B333" s="66"/>
      <c r="C333" s="67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</row>
    <row r="334" spans="1:18" ht="12.75" customHeight="1" x14ac:dyDescent="0.2">
      <c r="A334" s="65"/>
      <c r="B334" s="66"/>
      <c r="C334" s="67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1:18" ht="12.75" customHeight="1" x14ac:dyDescent="0.2">
      <c r="A335" s="65"/>
      <c r="B335" s="66"/>
      <c r="C335" s="67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</row>
    <row r="336" spans="1:18" ht="12.75" customHeight="1" x14ac:dyDescent="0.2">
      <c r="A336" s="65"/>
      <c r="B336" s="66"/>
      <c r="C336" s="67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</row>
    <row r="337" spans="1:18" ht="12.75" customHeight="1" x14ac:dyDescent="0.2">
      <c r="A337" s="65"/>
      <c r="B337" s="66"/>
      <c r="C337" s="67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</row>
    <row r="338" spans="1:18" ht="12.75" customHeight="1" x14ac:dyDescent="0.2">
      <c r="A338" s="65"/>
      <c r="B338" s="66"/>
      <c r="C338" s="67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1:18" ht="12.75" customHeight="1" x14ac:dyDescent="0.2">
      <c r="A339" s="65"/>
      <c r="B339" s="66"/>
      <c r="C339" s="67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</row>
    <row r="340" spans="1:18" ht="12.75" customHeight="1" x14ac:dyDescent="0.2">
      <c r="A340" s="65"/>
      <c r="B340" s="66"/>
      <c r="C340" s="67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</row>
    <row r="341" spans="1:18" ht="12.75" customHeight="1" x14ac:dyDescent="0.2">
      <c r="A341" s="65"/>
      <c r="B341" s="66"/>
      <c r="C341" s="67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</row>
    <row r="342" spans="1:18" ht="12.75" customHeight="1" x14ac:dyDescent="0.2">
      <c r="A342" s="65"/>
      <c r="B342" s="66"/>
      <c r="C342" s="67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1:18" ht="12.75" customHeight="1" x14ac:dyDescent="0.2">
      <c r="A343" s="65"/>
      <c r="B343" s="66"/>
      <c r="C343" s="67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</row>
    <row r="344" spans="1:18" ht="12.75" customHeight="1" x14ac:dyDescent="0.2">
      <c r="A344" s="65"/>
      <c r="B344" s="66"/>
      <c r="C344" s="67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</row>
    <row r="345" spans="1:18" ht="12.75" customHeight="1" x14ac:dyDescent="0.2">
      <c r="A345" s="65"/>
      <c r="B345" s="66"/>
      <c r="C345" s="67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</row>
    <row r="346" spans="1:18" ht="12.75" customHeight="1" x14ac:dyDescent="0.2">
      <c r="A346" s="65"/>
      <c r="B346" s="66"/>
      <c r="C346" s="67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1:18" ht="12.75" customHeight="1" x14ac:dyDescent="0.2">
      <c r="A347" s="65"/>
      <c r="B347" s="66"/>
      <c r="C347" s="67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</row>
    <row r="348" spans="1:18" ht="12.75" customHeight="1" x14ac:dyDescent="0.2">
      <c r="A348" s="65"/>
      <c r="B348" s="66"/>
      <c r="C348" s="67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</row>
    <row r="349" spans="1:18" ht="12.75" customHeight="1" x14ac:dyDescent="0.2">
      <c r="A349" s="65"/>
      <c r="B349" s="66"/>
      <c r="C349" s="67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</row>
    <row r="350" spans="1:18" ht="12.75" customHeight="1" x14ac:dyDescent="0.2">
      <c r="A350" s="65"/>
      <c r="B350" s="66"/>
      <c r="C350" s="67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1:18" ht="12.75" customHeight="1" x14ac:dyDescent="0.2">
      <c r="A351" s="65"/>
      <c r="B351" s="66"/>
      <c r="C351" s="67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</row>
    <row r="352" spans="1:18" ht="12.75" customHeight="1" x14ac:dyDescent="0.2">
      <c r="A352" s="65"/>
      <c r="B352" s="66"/>
      <c r="C352" s="67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</row>
    <row r="353" spans="1:18" ht="12.75" customHeight="1" x14ac:dyDescent="0.2">
      <c r="A353" s="65"/>
      <c r="B353" s="66"/>
      <c r="C353" s="67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</row>
    <row r="354" spans="1:18" ht="12.75" customHeight="1" x14ac:dyDescent="0.2">
      <c r="A354" s="65"/>
      <c r="B354" s="66"/>
      <c r="C354" s="67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1:18" ht="12.75" customHeight="1" x14ac:dyDescent="0.2">
      <c r="A355" s="65"/>
      <c r="B355" s="66"/>
      <c r="C355" s="67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</row>
    <row r="356" spans="1:18" ht="12.75" customHeight="1" x14ac:dyDescent="0.2">
      <c r="A356" s="65"/>
      <c r="B356" s="66"/>
      <c r="C356" s="67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</row>
    <row r="357" spans="1:18" ht="12.75" customHeight="1" x14ac:dyDescent="0.2">
      <c r="A357" s="65"/>
      <c r="B357" s="66"/>
      <c r="C357" s="67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</row>
    <row r="358" spans="1:18" ht="12.75" customHeight="1" x14ac:dyDescent="0.2">
      <c r="A358" s="65"/>
      <c r="B358" s="66"/>
      <c r="C358" s="67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1:18" ht="12.75" customHeight="1" x14ac:dyDescent="0.2">
      <c r="A359" s="65"/>
      <c r="B359" s="66"/>
      <c r="C359" s="67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</row>
    <row r="360" spans="1:18" ht="12.75" customHeight="1" x14ac:dyDescent="0.2">
      <c r="A360" s="65"/>
      <c r="B360" s="66"/>
      <c r="C360" s="67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</row>
    <row r="361" spans="1:18" ht="12.75" customHeight="1" x14ac:dyDescent="0.2">
      <c r="A361" s="65"/>
      <c r="B361" s="66"/>
      <c r="C361" s="67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</row>
    <row r="362" spans="1:18" ht="12.75" customHeight="1" x14ac:dyDescent="0.2">
      <c r="A362" s="65"/>
      <c r="B362" s="66"/>
      <c r="C362" s="67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1:18" ht="12.75" customHeight="1" x14ac:dyDescent="0.2">
      <c r="A363" s="65"/>
      <c r="B363" s="66"/>
      <c r="C363" s="67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</row>
    <row r="364" spans="1:18" ht="12.75" customHeight="1" x14ac:dyDescent="0.2">
      <c r="A364" s="65"/>
      <c r="B364" s="66"/>
      <c r="C364" s="67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</row>
    <row r="365" spans="1:18" ht="12.75" customHeight="1" x14ac:dyDescent="0.2">
      <c r="A365" s="65"/>
      <c r="B365" s="66"/>
      <c r="C365" s="67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</row>
    <row r="366" spans="1:18" ht="12.75" customHeight="1" x14ac:dyDescent="0.2">
      <c r="A366" s="65"/>
      <c r="B366" s="66"/>
      <c r="C366" s="67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1:18" ht="12.75" customHeight="1" x14ac:dyDescent="0.2">
      <c r="A367" s="65"/>
      <c r="B367" s="66"/>
      <c r="C367" s="67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</row>
    <row r="368" spans="1:18" ht="12.75" customHeight="1" x14ac:dyDescent="0.2">
      <c r="A368" s="65"/>
      <c r="B368" s="66"/>
      <c r="C368" s="67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</row>
    <row r="369" spans="1:18" ht="12.75" customHeight="1" x14ac:dyDescent="0.2">
      <c r="A369" s="65"/>
      <c r="B369" s="66"/>
      <c r="C369" s="67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</row>
    <row r="370" spans="1:18" ht="12.75" customHeight="1" x14ac:dyDescent="0.2">
      <c r="A370" s="65"/>
      <c r="B370" s="66"/>
      <c r="C370" s="67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1:18" ht="12.75" customHeight="1" x14ac:dyDescent="0.2">
      <c r="A371" s="65"/>
      <c r="B371" s="66"/>
      <c r="C371" s="67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</row>
    <row r="372" spans="1:18" ht="12.75" customHeight="1" x14ac:dyDescent="0.2">
      <c r="A372" s="65"/>
      <c r="B372" s="66"/>
      <c r="C372" s="67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</row>
    <row r="373" spans="1:18" ht="12.75" customHeight="1" x14ac:dyDescent="0.2">
      <c r="A373" s="65"/>
      <c r="B373" s="66"/>
      <c r="C373" s="67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</row>
    <row r="374" spans="1:18" ht="12.75" customHeight="1" x14ac:dyDescent="0.2">
      <c r="A374" s="65"/>
      <c r="B374" s="66"/>
      <c r="C374" s="67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1:18" ht="12.75" customHeight="1" x14ac:dyDescent="0.2">
      <c r="A375" s="65"/>
      <c r="B375" s="66"/>
      <c r="C375" s="67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</row>
    <row r="376" spans="1:18" ht="12.75" customHeight="1" x14ac:dyDescent="0.2">
      <c r="A376" s="65"/>
      <c r="B376" s="66"/>
      <c r="C376" s="67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</row>
    <row r="377" spans="1:18" ht="12.75" customHeight="1" x14ac:dyDescent="0.2">
      <c r="A377" s="65"/>
      <c r="B377" s="66"/>
      <c r="C377" s="67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</row>
    <row r="378" spans="1:18" ht="12.75" customHeight="1" x14ac:dyDescent="0.2">
      <c r="A378" s="65"/>
      <c r="B378" s="66"/>
      <c r="C378" s="67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1:18" ht="12.75" customHeight="1" x14ac:dyDescent="0.2">
      <c r="A379" s="65"/>
      <c r="B379" s="66"/>
      <c r="C379" s="67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</row>
    <row r="380" spans="1:18" ht="12.75" customHeight="1" x14ac:dyDescent="0.2">
      <c r="A380" s="65"/>
      <c r="B380" s="66"/>
      <c r="C380" s="67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</row>
    <row r="381" spans="1:18" ht="12.75" customHeight="1" x14ac:dyDescent="0.2">
      <c r="A381" s="65"/>
      <c r="B381" s="66"/>
      <c r="C381" s="67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</row>
    <row r="382" spans="1:18" ht="12.75" customHeight="1" x14ac:dyDescent="0.2">
      <c r="A382" s="65"/>
      <c r="B382" s="66"/>
      <c r="C382" s="67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1:18" ht="12.75" customHeight="1" x14ac:dyDescent="0.2">
      <c r="A383" s="65"/>
      <c r="B383" s="66"/>
      <c r="C383" s="67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</row>
    <row r="384" spans="1:18" ht="12.75" customHeight="1" x14ac:dyDescent="0.2">
      <c r="A384" s="65"/>
      <c r="B384" s="66"/>
      <c r="C384" s="67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</row>
    <row r="385" spans="1:18" ht="12.75" customHeight="1" x14ac:dyDescent="0.2">
      <c r="A385" s="65"/>
      <c r="B385" s="66"/>
      <c r="C385" s="67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</row>
    <row r="386" spans="1:18" ht="12.75" customHeight="1" x14ac:dyDescent="0.2">
      <c r="A386" s="65"/>
      <c r="B386" s="66"/>
      <c r="C386" s="67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1:18" ht="12.75" customHeight="1" x14ac:dyDescent="0.2">
      <c r="A387" s="65"/>
      <c r="B387" s="66"/>
      <c r="C387" s="67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</row>
    <row r="388" spans="1:18" ht="12.75" customHeight="1" x14ac:dyDescent="0.2">
      <c r="A388" s="65"/>
      <c r="B388" s="66"/>
      <c r="C388" s="67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</row>
    <row r="389" spans="1:18" ht="12.75" customHeight="1" x14ac:dyDescent="0.2">
      <c r="A389" s="65"/>
      <c r="B389" s="66"/>
      <c r="C389" s="67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</row>
    <row r="390" spans="1:18" ht="12.75" customHeight="1" x14ac:dyDescent="0.2">
      <c r="A390" s="65"/>
      <c r="B390" s="66"/>
      <c r="C390" s="67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1:18" ht="12.75" customHeight="1" x14ac:dyDescent="0.2">
      <c r="A391" s="65"/>
      <c r="B391" s="66"/>
      <c r="C391" s="67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</row>
    <row r="392" spans="1:18" ht="12.75" customHeight="1" x14ac:dyDescent="0.2">
      <c r="A392" s="65"/>
      <c r="B392" s="66"/>
      <c r="C392" s="67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</row>
    <row r="393" spans="1:18" ht="12.75" customHeight="1" x14ac:dyDescent="0.2">
      <c r="A393" s="65"/>
      <c r="B393" s="66"/>
      <c r="C393" s="67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</row>
    <row r="394" spans="1:18" ht="12.75" customHeight="1" x14ac:dyDescent="0.2">
      <c r="A394" s="65"/>
      <c r="B394" s="66"/>
      <c r="C394" s="67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1:18" ht="12.75" customHeight="1" x14ac:dyDescent="0.2">
      <c r="A395" s="65"/>
      <c r="B395" s="66"/>
      <c r="C395" s="67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</row>
    <row r="396" spans="1:18" ht="12.75" customHeight="1" x14ac:dyDescent="0.2">
      <c r="A396" s="65"/>
      <c r="B396" s="66"/>
      <c r="C396" s="67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</row>
    <row r="397" spans="1:18" ht="12.75" customHeight="1" x14ac:dyDescent="0.2">
      <c r="A397" s="65"/>
      <c r="B397" s="66"/>
      <c r="C397" s="67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</row>
    <row r="398" spans="1:18" ht="12.75" customHeight="1" x14ac:dyDescent="0.2">
      <c r="A398" s="65"/>
      <c r="B398" s="66"/>
      <c r="C398" s="67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1:18" ht="12.75" customHeight="1" x14ac:dyDescent="0.2">
      <c r="A399" s="65"/>
      <c r="B399" s="66"/>
      <c r="C399" s="67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</row>
    <row r="400" spans="1:18" ht="12.75" customHeight="1" x14ac:dyDescent="0.2">
      <c r="A400" s="65"/>
      <c r="B400" s="66"/>
      <c r="C400" s="67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</row>
    <row r="401" spans="1:18" ht="12.75" customHeight="1" x14ac:dyDescent="0.2">
      <c r="A401" s="65"/>
      <c r="B401" s="66"/>
      <c r="C401" s="67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</row>
    <row r="402" spans="1:18" ht="12.75" customHeight="1" x14ac:dyDescent="0.2">
      <c r="A402" s="65"/>
      <c r="B402" s="66"/>
      <c r="C402" s="67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1:18" ht="12.75" customHeight="1" x14ac:dyDescent="0.2">
      <c r="A403" s="65"/>
      <c r="B403" s="66"/>
      <c r="C403" s="67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</row>
    <row r="404" spans="1:18" ht="12.75" customHeight="1" x14ac:dyDescent="0.2">
      <c r="A404" s="65"/>
      <c r="B404" s="66"/>
      <c r="C404" s="67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</row>
    <row r="405" spans="1:18" ht="12.75" customHeight="1" x14ac:dyDescent="0.2">
      <c r="A405" s="65"/>
      <c r="B405" s="66"/>
      <c r="C405" s="67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</row>
    <row r="406" spans="1:18" ht="12.75" customHeight="1" x14ac:dyDescent="0.2">
      <c r="A406" s="65"/>
      <c r="B406" s="66"/>
      <c r="C406" s="67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1:18" ht="12.75" customHeight="1" x14ac:dyDescent="0.2">
      <c r="A407" s="65"/>
      <c r="B407" s="66"/>
      <c r="C407" s="67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</row>
    <row r="408" spans="1:18" ht="12.75" customHeight="1" x14ac:dyDescent="0.2">
      <c r="A408" s="65"/>
      <c r="B408" s="66"/>
      <c r="C408" s="67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</row>
    <row r="409" spans="1:18" ht="12.75" customHeight="1" x14ac:dyDescent="0.2">
      <c r="A409" s="65"/>
      <c r="B409" s="66"/>
      <c r="C409" s="67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</row>
    <row r="410" spans="1:18" ht="12.75" customHeight="1" x14ac:dyDescent="0.2">
      <c r="A410" s="65"/>
      <c r="B410" s="66"/>
      <c r="C410" s="67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1:18" ht="12.75" customHeight="1" x14ac:dyDescent="0.2">
      <c r="A411" s="65"/>
      <c r="B411" s="66"/>
      <c r="C411" s="67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</row>
    <row r="412" spans="1:18" ht="12.75" customHeight="1" x14ac:dyDescent="0.2">
      <c r="A412" s="65"/>
      <c r="B412" s="66"/>
      <c r="C412" s="67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</row>
    <row r="413" spans="1:18" ht="12.75" customHeight="1" x14ac:dyDescent="0.2">
      <c r="A413" s="65"/>
      <c r="B413" s="66"/>
      <c r="C413" s="67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</row>
    <row r="414" spans="1:18" ht="12.75" customHeight="1" x14ac:dyDescent="0.2">
      <c r="A414" s="65"/>
      <c r="B414" s="66"/>
      <c r="C414" s="67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1:18" ht="12.75" customHeight="1" x14ac:dyDescent="0.2">
      <c r="A415" s="65"/>
      <c r="B415" s="66"/>
      <c r="C415" s="67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</row>
    <row r="416" spans="1:18" ht="12.75" customHeight="1" x14ac:dyDescent="0.2">
      <c r="A416" s="65"/>
      <c r="B416" s="66"/>
      <c r="C416" s="67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</row>
    <row r="417" spans="1:18" ht="12.75" customHeight="1" x14ac:dyDescent="0.2">
      <c r="A417" s="65"/>
      <c r="B417" s="66"/>
      <c r="C417" s="67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</row>
    <row r="418" spans="1:18" ht="12.75" customHeight="1" x14ac:dyDescent="0.2">
      <c r="A418" s="65"/>
      <c r="B418" s="66"/>
      <c r="C418" s="67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1:18" ht="12.75" customHeight="1" x14ac:dyDescent="0.2">
      <c r="A419" s="65"/>
      <c r="B419" s="66"/>
      <c r="C419" s="67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</row>
    <row r="420" spans="1:18" ht="12.75" customHeight="1" x14ac:dyDescent="0.2">
      <c r="A420" s="65"/>
      <c r="B420" s="66"/>
      <c r="C420" s="67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</row>
    <row r="421" spans="1:18" ht="12.75" customHeight="1" x14ac:dyDescent="0.2">
      <c r="A421" s="65"/>
      <c r="B421" s="66"/>
      <c r="C421" s="67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</row>
    <row r="422" spans="1:18" ht="12.75" customHeight="1" x14ac:dyDescent="0.2">
      <c r="A422" s="65"/>
      <c r="B422" s="66"/>
      <c r="C422" s="67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1:18" ht="12.75" customHeight="1" x14ac:dyDescent="0.2">
      <c r="A423" s="65"/>
      <c r="B423" s="66"/>
      <c r="C423" s="67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</row>
    <row r="424" spans="1:18" ht="12.75" customHeight="1" x14ac:dyDescent="0.2">
      <c r="A424" s="65"/>
      <c r="B424" s="66"/>
      <c r="C424" s="67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</row>
    <row r="425" spans="1:18" ht="12.75" customHeight="1" x14ac:dyDescent="0.2">
      <c r="A425" s="65"/>
      <c r="B425" s="66"/>
      <c r="C425" s="67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</row>
    <row r="426" spans="1:18" ht="12.75" customHeight="1" x14ac:dyDescent="0.2">
      <c r="A426" s="65"/>
      <c r="B426" s="66"/>
      <c r="C426" s="67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1:18" ht="12.75" customHeight="1" x14ac:dyDescent="0.2">
      <c r="A427" s="65"/>
      <c r="B427" s="66"/>
      <c r="C427" s="67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</row>
    <row r="428" spans="1:18" ht="12.75" customHeight="1" x14ac:dyDescent="0.2">
      <c r="A428" s="65"/>
      <c r="B428" s="66"/>
      <c r="C428" s="67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</row>
    <row r="429" spans="1:18" ht="12.75" customHeight="1" x14ac:dyDescent="0.2">
      <c r="A429" s="65"/>
      <c r="B429" s="66"/>
      <c r="C429" s="67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</row>
    <row r="430" spans="1:18" ht="12.75" customHeight="1" x14ac:dyDescent="0.2">
      <c r="A430" s="65"/>
      <c r="B430" s="66"/>
      <c r="C430" s="67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1:18" ht="12.75" customHeight="1" x14ac:dyDescent="0.2">
      <c r="A431" s="65"/>
      <c r="B431" s="66"/>
      <c r="C431" s="67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</row>
    <row r="432" spans="1:18" ht="12.75" customHeight="1" x14ac:dyDescent="0.2">
      <c r="A432" s="65"/>
      <c r="B432" s="66"/>
      <c r="C432" s="67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</row>
    <row r="433" spans="1:18" ht="12.75" customHeight="1" x14ac:dyDescent="0.2">
      <c r="A433" s="65"/>
      <c r="B433" s="66"/>
      <c r="C433" s="67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</row>
    <row r="434" spans="1:18" ht="12.75" customHeight="1" x14ac:dyDescent="0.2">
      <c r="A434" s="65"/>
      <c r="B434" s="66"/>
      <c r="C434" s="67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1:18" ht="12.75" customHeight="1" x14ac:dyDescent="0.2">
      <c r="A435" s="65"/>
      <c r="B435" s="66"/>
      <c r="C435" s="67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</row>
    <row r="436" spans="1:18" ht="12.75" customHeight="1" x14ac:dyDescent="0.2">
      <c r="A436" s="65"/>
      <c r="B436" s="66"/>
      <c r="C436" s="67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</row>
    <row r="437" spans="1:18" ht="12.75" customHeight="1" x14ac:dyDescent="0.2">
      <c r="A437" s="65"/>
      <c r="B437" s="66"/>
      <c r="C437" s="67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</row>
    <row r="438" spans="1:18" ht="12.75" customHeight="1" x14ac:dyDescent="0.2">
      <c r="A438" s="65"/>
      <c r="B438" s="66"/>
      <c r="C438" s="67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1:18" ht="12.75" customHeight="1" x14ac:dyDescent="0.2">
      <c r="A439" s="65"/>
      <c r="B439" s="66"/>
      <c r="C439" s="67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</row>
    <row r="440" spans="1:18" ht="12.75" customHeight="1" x14ac:dyDescent="0.2">
      <c r="A440" s="65"/>
      <c r="B440" s="66"/>
      <c r="C440" s="67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</row>
    <row r="441" spans="1:18" ht="12.75" customHeight="1" x14ac:dyDescent="0.2">
      <c r="A441" s="65"/>
      <c r="B441" s="66"/>
      <c r="C441" s="67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</row>
    <row r="442" spans="1:18" ht="12.75" customHeight="1" x14ac:dyDescent="0.2">
      <c r="A442" s="65"/>
      <c r="B442" s="66"/>
      <c r="C442" s="67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1:18" ht="12.75" customHeight="1" x14ac:dyDescent="0.2">
      <c r="A443" s="65"/>
      <c r="B443" s="66"/>
      <c r="C443" s="67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</row>
    <row r="444" spans="1:18" ht="12.75" customHeight="1" x14ac:dyDescent="0.2">
      <c r="A444" s="65"/>
      <c r="B444" s="66"/>
      <c r="C444" s="67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</row>
    <row r="445" spans="1:18" ht="12.75" customHeight="1" x14ac:dyDescent="0.2">
      <c r="A445" s="65"/>
      <c r="B445" s="66"/>
      <c r="C445" s="67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</row>
    <row r="446" spans="1:18" ht="12.75" customHeight="1" x14ac:dyDescent="0.2">
      <c r="A446" s="65"/>
      <c r="B446" s="66"/>
      <c r="C446" s="67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1:18" ht="12.75" customHeight="1" x14ac:dyDescent="0.2">
      <c r="A447" s="65"/>
      <c r="B447" s="66"/>
      <c r="C447" s="67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</row>
    <row r="448" spans="1:18" ht="12.75" customHeight="1" x14ac:dyDescent="0.2">
      <c r="A448" s="65"/>
      <c r="B448" s="66"/>
      <c r="C448" s="67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</row>
    <row r="449" spans="1:18" ht="12.75" customHeight="1" x14ac:dyDescent="0.2">
      <c r="A449" s="65"/>
      <c r="B449" s="66"/>
      <c r="C449" s="67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</row>
    <row r="450" spans="1:18" ht="12.75" customHeight="1" x14ac:dyDescent="0.2">
      <c r="A450" s="65"/>
      <c r="B450" s="66"/>
      <c r="C450" s="67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1:18" ht="12.75" customHeight="1" x14ac:dyDescent="0.2">
      <c r="A451" s="65"/>
      <c r="B451" s="66"/>
      <c r="C451" s="67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</row>
    <row r="452" spans="1:18" ht="12.75" customHeight="1" x14ac:dyDescent="0.2">
      <c r="A452" s="65"/>
      <c r="B452" s="66"/>
      <c r="C452" s="67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</row>
    <row r="453" spans="1:18" ht="12.75" customHeight="1" x14ac:dyDescent="0.2">
      <c r="A453" s="65"/>
      <c r="B453" s="66"/>
      <c r="C453" s="67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</row>
    <row r="454" spans="1:18" ht="12.75" customHeight="1" x14ac:dyDescent="0.2">
      <c r="A454" s="65"/>
      <c r="B454" s="66"/>
      <c r="C454" s="67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1:18" ht="12.75" customHeight="1" x14ac:dyDescent="0.2">
      <c r="A455" s="65"/>
      <c r="B455" s="66"/>
      <c r="C455" s="67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</row>
    <row r="456" spans="1:18" ht="12.75" customHeight="1" x14ac:dyDescent="0.2">
      <c r="A456" s="65"/>
      <c r="B456" s="66"/>
      <c r="C456" s="67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</row>
    <row r="457" spans="1:18" ht="12.75" customHeight="1" x14ac:dyDescent="0.2">
      <c r="A457" s="65"/>
      <c r="B457" s="66"/>
      <c r="C457" s="67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</row>
    <row r="458" spans="1:18" ht="12.75" customHeight="1" x14ac:dyDescent="0.2">
      <c r="A458" s="65"/>
      <c r="B458" s="66"/>
      <c r="C458" s="67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1:18" ht="12.75" customHeight="1" x14ac:dyDescent="0.2">
      <c r="A459" s="65"/>
      <c r="B459" s="66"/>
      <c r="C459" s="67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</row>
    <row r="460" spans="1:18" ht="12.75" customHeight="1" x14ac:dyDescent="0.2">
      <c r="A460" s="65"/>
      <c r="B460" s="66"/>
      <c r="C460" s="67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</row>
    <row r="461" spans="1:18" ht="12.75" customHeight="1" x14ac:dyDescent="0.2">
      <c r="A461" s="65"/>
      <c r="B461" s="66"/>
      <c r="C461" s="67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</row>
    <row r="462" spans="1:18" ht="12.75" customHeight="1" x14ac:dyDescent="0.2">
      <c r="A462" s="65"/>
      <c r="B462" s="66"/>
      <c r="C462" s="67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1:18" ht="12.75" customHeight="1" x14ac:dyDescent="0.2">
      <c r="A463" s="65"/>
      <c r="B463" s="66"/>
      <c r="C463" s="67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</row>
    <row r="464" spans="1:18" ht="12.75" customHeight="1" x14ac:dyDescent="0.2">
      <c r="A464" s="65"/>
      <c r="B464" s="66"/>
      <c r="C464" s="67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</row>
    <row r="465" spans="1:18" ht="12.75" customHeight="1" x14ac:dyDescent="0.2">
      <c r="A465" s="65"/>
      <c r="B465" s="66"/>
      <c r="C465" s="67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</row>
    <row r="466" spans="1:18" ht="12.75" customHeight="1" x14ac:dyDescent="0.2">
      <c r="A466" s="65"/>
      <c r="B466" s="66"/>
      <c r="C466" s="67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1:18" ht="12.75" customHeight="1" x14ac:dyDescent="0.2">
      <c r="A467" s="65"/>
      <c r="B467" s="66"/>
      <c r="C467" s="67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</row>
    <row r="468" spans="1:18" ht="12.75" customHeight="1" x14ac:dyDescent="0.2">
      <c r="A468" s="65"/>
      <c r="B468" s="66"/>
      <c r="C468" s="67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</row>
    <row r="469" spans="1:18" ht="12.75" customHeight="1" x14ac:dyDescent="0.2">
      <c r="A469" s="65"/>
      <c r="B469" s="66"/>
      <c r="C469" s="67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</row>
    <row r="470" spans="1:18" ht="12.75" customHeight="1" x14ac:dyDescent="0.2">
      <c r="A470" s="65"/>
      <c r="B470" s="66"/>
      <c r="C470" s="67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1:18" ht="12.75" customHeight="1" x14ac:dyDescent="0.2">
      <c r="A471" s="65"/>
      <c r="B471" s="66"/>
      <c r="C471" s="67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</row>
    <row r="472" spans="1:18" ht="12.75" customHeight="1" x14ac:dyDescent="0.2">
      <c r="A472" s="65"/>
      <c r="B472" s="66"/>
      <c r="C472" s="67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</row>
    <row r="473" spans="1:18" ht="12.75" customHeight="1" x14ac:dyDescent="0.2">
      <c r="A473" s="65"/>
      <c r="B473" s="66"/>
      <c r="C473" s="67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</row>
    <row r="474" spans="1:18" ht="12.75" customHeight="1" x14ac:dyDescent="0.2">
      <c r="A474" s="65"/>
      <c r="B474" s="66"/>
      <c r="C474" s="67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1:18" ht="12.75" customHeight="1" x14ac:dyDescent="0.2">
      <c r="A475" s="65"/>
      <c r="B475" s="66"/>
      <c r="C475" s="67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</row>
    <row r="476" spans="1:18" ht="12.75" customHeight="1" x14ac:dyDescent="0.2">
      <c r="A476" s="65"/>
      <c r="B476" s="66"/>
      <c r="C476" s="67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</row>
    <row r="477" spans="1:18" ht="12.75" customHeight="1" x14ac:dyDescent="0.2">
      <c r="A477" s="65"/>
      <c r="B477" s="66"/>
      <c r="C477" s="67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</row>
    <row r="478" spans="1:18" ht="12.75" customHeight="1" x14ac:dyDescent="0.2">
      <c r="A478" s="65"/>
      <c r="B478" s="66"/>
      <c r="C478" s="67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1:18" ht="12.75" customHeight="1" x14ac:dyDescent="0.2">
      <c r="A479" s="65"/>
      <c r="B479" s="66"/>
      <c r="C479" s="67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</row>
    <row r="480" spans="1:18" ht="12.75" customHeight="1" x14ac:dyDescent="0.2">
      <c r="A480" s="65"/>
      <c r="B480" s="66"/>
      <c r="C480" s="67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</row>
    <row r="481" spans="1:18" ht="12.75" customHeight="1" x14ac:dyDescent="0.2">
      <c r="A481" s="65"/>
      <c r="B481" s="66"/>
      <c r="C481" s="67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</row>
    <row r="482" spans="1:18" ht="12.75" customHeight="1" x14ac:dyDescent="0.2">
      <c r="A482" s="65"/>
      <c r="B482" s="66"/>
      <c r="C482" s="67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  <row r="483" spans="1:18" ht="12.75" customHeight="1" x14ac:dyDescent="0.2">
      <c r="A483" s="65"/>
      <c r="B483" s="66"/>
      <c r="C483" s="67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</row>
    <row r="484" spans="1:18" ht="12.75" customHeight="1" x14ac:dyDescent="0.2">
      <c r="A484" s="65"/>
      <c r="B484" s="66"/>
      <c r="C484" s="67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</row>
    <row r="485" spans="1:18" ht="12.75" customHeight="1" x14ac:dyDescent="0.2">
      <c r="A485" s="65"/>
      <c r="B485" s="66"/>
      <c r="C485" s="67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</row>
    <row r="486" spans="1:18" ht="12.75" customHeight="1" x14ac:dyDescent="0.2">
      <c r="A486" s="65"/>
      <c r="B486" s="66"/>
      <c r="C486" s="67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</row>
    <row r="487" spans="1:18" ht="12.75" customHeight="1" x14ac:dyDescent="0.2">
      <c r="A487" s="65"/>
      <c r="B487" s="66"/>
      <c r="C487" s="67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</row>
    <row r="488" spans="1:18" ht="12.75" customHeight="1" x14ac:dyDescent="0.2">
      <c r="A488" s="65"/>
      <c r="B488" s="66"/>
      <c r="C488" s="67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</row>
    <row r="489" spans="1:18" ht="12.75" customHeight="1" x14ac:dyDescent="0.2">
      <c r="A489" s="65"/>
      <c r="B489" s="66"/>
      <c r="C489" s="67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</row>
    <row r="490" spans="1:18" ht="12.75" customHeight="1" x14ac:dyDescent="0.2">
      <c r="A490" s="65"/>
      <c r="B490" s="66"/>
      <c r="C490" s="67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</row>
    <row r="491" spans="1:18" ht="12.75" customHeight="1" x14ac:dyDescent="0.2">
      <c r="A491" s="65"/>
      <c r="B491" s="66"/>
      <c r="C491" s="67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</row>
    <row r="492" spans="1:18" ht="12.75" customHeight="1" x14ac:dyDescent="0.2">
      <c r="A492" s="65"/>
      <c r="B492" s="66"/>
      <c r="C492" s="67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</row>
    <row r="493" spans="1:18" ht="12.75" customHeight="1" x14ac:dyDescent="0.2">
      <c r="A493" s="65"/>
      <c r="B493" s="66"/>
      <c r="C493" s="67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</row>
    <row r="494" spans="1:18" ht="12.75" customHeight="1" x14ac:dyDescent="0.2">
      <c r="A494" s="65"/>
      <c r="B494" s="66"/>
      <c r="C494" s="67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</row>
    <row r="495" spans="1:18" ht="12.75" customHeight="1" x14ac:dyDescent="0.2">
      <c r="A495" s="65"/>
      <c r="B495" s="66"/>
      <c r="C495" s="67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</row>
    <row r="496" spans="1:18" ht="12.75" customHeight="1" x14ac:dyDescent="0.2">
      <c r="A496" s="65"/>
      <c r="B496" s="66"/>
      <c r="C496" s="67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</row>
    <row r="497" spans="1:18" ht="12.75" customHeight="1" x14ac:dyDescent="0.2">
      <c r="A497" s="65"/>
      <c r="B497" s="66"/>
      <c r="C497" s="67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</row>
    <row r="498" spans="1:18" ht="12.75" customHeight="1" x14ac:dyDescent="0.2">
      <c r="A498" s="65"/>
      <c r="B498" s="66"/>
      <c r="C498" s="67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</row>
    <row r="499" spans="1:18" ht="12.75" customHeight="1" x14ac:dyDescent="0.2">
      <c r="A499" s="65"/>
      <c r="B499" s="66"/>
      <c r="C499" s="67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</row>
    <row r="500" spans="1:18" ht="12.75" customHeight="1" x14ac:dyDescent="0.2">
      <c r="A500" s="65"/>
      <c r="B500" s="66"/>
      <c r="C500" s="67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</row>
    <row r="501" spans="1:18" ht="12.75" customHeight="1" x14ac:dyDescent="0.2">
      <c r="A501" s="65"/>
      <c r="B501" s="66"/>
      <c r="C501" s="67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</row>
    <row r="502" spans="1:18" ht="12.75" customHeight="1" x14ac:dyDescent="0.2">
      <c r="A502" s="65"/>
      <c r="B502" s="66"/>
      <c r="C502" s="67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</row>
    <row r="503" spans="1:18" ht="12.75" customHeight="1" x14ac:dyDescent="0.2">
      <c r="A503" s="65"/>
      <c r="B503" s="66"/>
      <c r="C503" s="67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</row>
    <row r="504" spans="1:18" ht="12.75" customHeight="1" x14ac:dyDescent="0.2">
      <c r="A504" s="65"/>
      <c r="B504" s="66"/>
      <c r="C504" s="67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</row>
    <row r="505" spans="1:18" ht="12.75" customHeight="1" x14ac:dyDescent="0.2">
      <c r="A505" s="65"/>
      <c r="B505" s="66"/>
      <c r="C505" s="67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</row>
    <row r="506" spans="1:18" ht="12.75" customHeight="1" x14ac:dyDescent="0.2">
      <c r="A506" s="65"/>
      <c r="B506" s="66"/>
      <c r="C506" s="67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</row>
    <row r="507" spans="1:18" ht="12.75" customHeight="1" x14ac:dyDescent="0.2">
      <c r="A507" s="65"/>
      <c r="B507" s="66"/>
      <c r="C507" s="67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</row>
    <row r="508" spans="1:18" ht="12.75" customHeight="1" x14ac:dyDescent="0.2">
      <c r="A508" s="65"/>
      <c r="B508" s="66"/>
      <c r="C508" s="67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</row>
    <row r="509" spans="1:18" ht="12.75" customHeight="1" x14ac:dyDescent="0.2">
      <c r="A509" s="65"/>
      <c r="B509" s="66"/>
      <c r="C509" s="67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</row>
    <row r="510" spans="1:18" ht="12.75" customHeight="1" x14ac:dyDescent="0.2">
      <c r="A510" s="65"/>
      <c r="B510" s="66"/>
      <c r="C510" s="67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</row>
    <row r="511" spans="1:18" ht="12.75" customHeight="1" x14ac:dyDescent="0.2">
      <c r="A511" s="65"/>
      <c r="B511" s="66"/>
      <c r="C511" s="67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</row>
    <row r="512" spans="1:18" ht="12.75" customHeight="1" x14ac:dyDescent="0.2">
      <c r="A512" s="65"/>
      <c r="B512" s="66"/>
      <c r="C512" s="67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</row>
    <row r="513" spans="1:18" ht="12.75" customHeight="1" x14ac:dyDescent="0.2">
      <c r="A513" s="65"/>
      <c r="B513" s="66"/>
      <c r="C513" s="67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</row>
    <row r="514" spans="1:18" ht="12.75" customHeight="1" x14ac:dyDescent="0.2">
      <c r="A514" s="65"/>
      <c r="B514" s="66"/>
      <c r="C514" s="67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</row>
    <row r="515" spans="1:18" ht="12.75" customHeight="1" x14ac:dyDescent="0.2">
      <c r="A515" s="65"/>
      <c r="B515" s="66"/>
      <c r="C515" s="67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</row>
    <row r="516" spans="1:18" ht="12.75" customHeight="1" x14ac:dyDescent="0.2">
      <c r="A516" s="65"/>
      <c r="B516" s="66"/>
      <c r="C516" s="67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</row>
    <row r="517" spans="1:18" ht="12.75" customHeight="1" x14ac:dyDescent="0.2">
      <c r="A517" s="65"/>
      <c r="B517" s="66"/>
      <c r="C517" s="67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</row>
    <row r="518" spans="1:18" ht="12.75" customHeight="1" x14ac:dyDescent="0.2">
      <c r="A518" s="65"/>
      <c r="B518" s="66"/>
      <c r="C518" s="67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</row>
    <row r="519" spans="1:18" ht="12.75" customHeight="1" x14ac:dyDescent="0.2">
      <c r="A519" s="65"/>
      <c r="B519" s="66"/>
      <c r="C519" s="67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</row>
    <row r="520" spans="1:18" ht="12.75" customHeight="1" x14ac:dyDescent="0.2">
      <c r="A520" s="65"/>
      <c r="B520" s="66"/>
      <c r="C520" s="67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</row>
    <row r="521" spans="1:18" ht="12.75" customHeight="1" x14ac:dyDescent="0.2">
      <c r="A521" s="65"/>
      <c r="B521" s="66"/>
      <c r="C521" s="67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</row>
    <row r="522" spans="1:18" ht="12.75" customHeight="1" x14ac:dyDescent="0.2">
      <c r="A522" s="65"/>
      <c r="B522" s="66"/>
      <c r="C522" s="67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</row>
    <row r="523" spans="1:18" ht="12.75" customHeight="1" x14ac:dyDescent="0.2">
      <c r="A523" s="65"/>
      <c r="B523" s="66"/>
      <c r="C523" s="67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</row>
    <row r="524" spans="1:18" ht="12.75" customHeight="1" x14ac:dyDescent="0.2">
      <c r="A524" s="65"/>
      <c r="B524" s="66"/>
      <c r="C524" s="67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</row>
    <row r="525" spans="1:18" ht="12.75" customHeight="1" x14ac:dyDescent="0.2">
      <c r="A525" s="65"/>
      <c r="B525" s="66"/>
      <c r="C525" s="67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</row>
    <row r="526" spans="1:18" ht="12.75" customHeight="1" x14ac:dyDescent="0.2">
      <c r="A526" s="65"/>
      <c r="B526" s="66"/>
      <c r="C526" s="67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</row>
    <row r="527" spans="1:18" ht="12.75" customHeight="1" x14ac:dyDescent="0.2">
      <c r="A527" s="65"/>
      <c r="B527" s="66"/>
      <c r="C527" s="67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</row>
    <row r="528" spans="1:18" ht="12.75" customHeight="1" x14ac:dyDescent="0.2">
      <c r="A528" s="65"/>
      <c r="B528" s="66"/>
      <c r="C528" s="67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</row>
    <row r="529" spans="1:18" ht="12.75" customHeight="1" x14ac:dyDescent="0.2">
      <c r="A529" s="65"/>
      <c r="B529" s="66"/>
      <c r="C529" s="67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</row>
    <row r="530" spans="1:18" ht="12.75" customHeight="1" x14ac:dyDescent="0.2">
      <c r="A530" s="65"/>
      <c r="B530" s="66"/>
      <c r="C530" s="67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</row>
    <row r="531" spans="1:18" ht="12.75" customHeight="1" x14ac:dyDescent="0.2">
      <c r="A531" s="65"/>
      <c r="B531" s="66"/>
      <c r="C531" s="67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</row>
    <row r="532" spans="1:18" ht="12.75" customHeight="1" x14ac:dyDescent="0.2">
      <c r="A532" s="65"/>
      <c r="B532" s="66"/>
      <c r="C532" s="67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</row>
    <row r="533" spans="1:18" ht="12.75" customHeight="1" x14ac:dyDescent="0.2">
      <c r="A533" s="65"/>
      <c r="B533" s="66"/>
      <c r="C533" s="67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</row>
    <row r="534" spans="1:18" ht="12.75" customHeight="1" x14ac:dyDescent="0.2">
      <c r="A534" s="65"/>
      <c r="B534" s="66"/>
      <c r="C534" s="67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</row>
    <row r="535" spans="1:18" ht="12.75" customHeight="1" x14ac:dyDescent="0.2">
      <c r="A535" s="65"/>
      <c r="B535" s="66"/>
      <c r="C535" s="67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</row>
    <row r="536" spans="1:18" ht="12.75" customHeight="1" x14ac:dyDescent="0.2">
      <c r="A536" s="65"/>
      <c r="B536" s="66"/>
      <c r="C536" s="67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</row>
    <row r="537" spans="1:18" ht="12.75" customHeight="1" x14ac:dyDescent="0.2">
      <c r="A537" s="65"/>
      <c r="B537" s="66"/>
      <c r="C537" s="67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</row>
    <row r="538" spans="1:18" ht="12.75" customHeight="1" x14ac:dyDescent="0.2">
      <c r="A538" s="65"/>
      <c r="B538" s="66"/>
      <c r="C538" s="67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</row>
    <row r="539" spans="1:18" ht="12.75" customHeight="1" x14ac:dyDescent="0.2">
      <c r="A539" s="65"/>
      <c r="B539" s="66"/>
      <c r="C539" s="67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</row>
    <row r="540" spans="1:18" ht="12.75" customHeight="1" x14ac:dyDescent="0.2">
      <c r="A540" s="65"/>
      <c r="B540" s="66"/>
      <c r="C540" s="67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</row>
    <row r="541" spans="1:18" ht="12.75" customHeight="1" x14ac:dyDescent="0.2">
      <c r="A541" s="65"/>
      <c r="B541" s="66"/>
      <c r="C541" s="67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</row>
    <row r="542" spans="1:18" ht="12.75" customHeight="1" x14ac:dyDescent="0.2">
      <c r="A542" s="65"/>
      <c r="B542" s="66"/>
      <c r="C542" s="67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</row>
    <row r="543" spans="1:18" ht="12.75" customHeight="1" x14ac:dyDescent="0.2">
      <c r="A543" s="65"/>
      <c r="B543" s="66"/>
      <c r="C543" s="67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</row>
    <row r="544" spans="1:18" ht="12.75" customHeight="1" x14ac:dyDescent="0.2">
      <c r="A544" s="65"/>
      <c r="B544" s="66"/>
      <c r="C544" s="67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</row>
    <row r="545" spans="1:18" ht="12.75" customHeight="1" x14ac:dyDescent="0.2">
      <c r="A545" s="65"/>
      <c r="B545" s="66"/>
      <c r="C545" s="67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</row>
    <row r="546" spans="1:18" ht="12.75" customHeight="1" x14ac:dyDescent="0.2">
      <c r="A546" s="65"/>
      <c r="B546" s="66"/>
      <c r="C546" s="67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</row>
    <row r="547" spans="1:18" ht="12.75" customHeight="1" x14ac:dyDescent="0.2">
      <c r="A547" s="65"/>
      <c r="B547" s="66"/>
      <c r="C547" s="67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</row>
    <row r="548" spans="1:18" ht="12.75" customHeight="1" x14ac:dyDescent="0.2">
      <c r="A548" s="65"/>
      <c r="B548" s="66"/>
      <c r="C548" s="67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</row>
    <row r="549" spans="1:18" ht="12.75" customHeight="1" x14ac:dyDescent="0.2">
      <c r="A549" s="65"/>
      <c r="B549" s="66"/>
      <c r="C549" s="67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</row>
    <row r="550" spans="1:18" ht="12.75" customHeight="1" x14ac:dyDescent="0.2">
      <c r="A550" s="65"/>
      <c r="B550" s="66"/>
      <c r="C550" s="67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</row>
    <row r="551" spans="1:18" ht="12.75" customHeight="1" x14ac:dyDescent="0.2">
      <c r="A551" s="65"/>
      <c r="B551" s="66"/>
      <c r="C551" s="67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</row>
    <row r="552" spans="1:18" ht="12.75" customHeight="1" x14ac:dyDescent="0.2">
      <c r="A552" s="65"/>
      <c r="B552" s="66"/>
      <c r="C552" s="67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</row>
    <row r="553" spans="1:18" ht="12.75" customHeight="1" x14ac:dyDescent="0.2">
      <c r="A553" s="65"/>
      <c r="B553" s="66"/>
      <c r="C553" s="67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</row>
    <row r="554" spans="1:18" ht="12.75" customHeight="1" x14ac:dyDescent="0.2">
      <c r="A554" s="65"/>
      <c r="B554" s="66"/>
      <c r="C554" s="67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</row>
    <row r="555" spans="1:18" ht="12.75" customHeight="1" x14ac:dyDescent="0.2">
      <c r="A555" s="65"/>
      <c r="B555" s="66"/>
      <c r="C555" s="67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</row>
    <row r="556" spans="1:18" ht="12.75" customHeight="1" x14ac:dyDescent="0.2">
      <c r="A556" s="65"/>
      <c r="B556" s="66"/>
      <c r="C556" s="67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</row>
    <row r="557" spans="1:18" ht="12.75" customHeight="1" x14ac:dyDescent="0.2">
      <c r="A557" s="65"/>
      <c r="B557" s="66"/>
      <c r="C557" s="67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</row>
    <row r="558" spans="1:18" ht="12.75" customHeight="1" x14ac:dyDescent="0.2">
      <c r="A558" s="65"/>
      <c r="B558" s="66"/>
      <c r="C558" s="67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</row>
    <row r="559" spans="1:18" ht="12.75" customHeight="1" x14ac:dyDescent="0.2">
      <c r="A559" s="65"/>
      <c r="B559" s="66"/>
      <c r="C559" s="67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</row>
    <row r="560" spans="1:18" ht="12.75" customHeight="1" x14ac:dyDescent="0.2">
      <c r="A560" s="65"/>
      <c r="B560" s="66"/>
      <c r="C560" s="67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</row>
    <row r="561" spans="1:18" ht="12.75" customHeight="1" x14ac:dyDescent="0.2">
      <c r="A561" s="65"/>
      <c r="B561" s="66"/>
      <c r="C561" s="67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</row>
    <row r="562" spans="1:18" ht="12.75" customHeight="1" x14ac:dyDescent="0.2">
      <c r="A562" s="65"/>
      <c r="B562" s="66"/>
      <c r="C562" s="67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</row>
    <row r="563" spans="1:18" ht="12.75" customHeight="1" x14ac:dyDescent="0.2">
      <c r="A563" s="65"/>
      <c r="B563" s="66"/>
      <c r="C563" s="67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</row>
    <row r="564" spans="1:18" ht="12.75" customHeight="1" x14ac:dyDescent="0.2">
      <c r="A564" s="65"/>
      <c r="B564" s="66"/>
      <c r="C564" s="67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</row>
    <row r="565" spans="1:18" ht="12.75" customHeight="1" x14ac:dyDescent="0.2">
      <c r="A565" s="65"/>
      <c r="B565" s="66"/>
      <c r="C565" s="67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</row>
    <row r="566" spans="1:18" ht="12.75" customHeight="1" x14ac:dyDescent="0.2">
      <c r="A566" s="65"/>
      <c r="B566" s="66"/>
      <c r="C566" s="67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</row>
    <row r="567" spans="1:18" ht="12.75" customHeight="1" x14ac:dyDescent="0.2">
      <c r="A567" s="65"/>
      <c r="B567" s="66"/>
      <c r="C567" s="67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</row>
    <row r="568" spans="1:18" ht="12.75" customHeight="1" x14ac:dyDescent="0.2">
      <c r="A568" s="65"/>
      <c r="B568" s="66"/>
      <c r="C568" s="67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</row>
    <row r="569" spans="1:18" ht="12.75" customHeight="1" x14ac:dyDescent="0.2">
      <c r="A569" s="65"/>
      <c r="B569" s="66"/>
      <c r="C569" s="67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</row>
    <row r="570" spans="1:18" ht="12.75" customHeight="1" x14ac:dyDescent="0.2">
      <c r="A570" s="65"/>
      <c r="B570" s="66"/>
      <c r="C570" s="67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</row>
    <row r="571" spans="1:18" ht="12.75" customHeight="1" x14ac:dyDescent="0.2">
      <c r="A571" s="65"/>
      <c r="B571" s="66"/>
      <c r="C571" s="67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</row>
    <row r="572" spans="1:18" ht="12.75" customHeight="1" x14ac:dyDescent="0.2">
      <c r="A572" s="65"/>
      <c r="B572" s="66"/>
      <c r="C572" s="67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</row>
    <row r="573" spans="1:18" ht="12.75" customHeight="1" x14ac:dyDescent="0.2">
      <c r="A573" s="65"/>
      <c r="B573" s="66"/>
      <c r="C573" s="67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</row>
    <row r="574" spans="1:18" ht="12.75" customHeight="1" x14ac:dyDescent="0.2">
      <c r="A574" s="65"/>
      <c r="B574" s="66"/>
      <c r="C574" s="67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</row>
    <row r="575" spans="1:18" ht="12.75" customHeight="1" x14ac:dyDescent="0.2">
      <c r="A575" s="65"/>
      <c r="B575" s="66"/>
      <c r="C575" s="67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</row>
    <row r="576" spans="1:18" ht="12.75" customHeight="1" x14ac:dyDescent="0.2">
      <c r="A576" s="65"/>
      <c r="B576" s="66"/>
      <c r="C576" s="67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</row>
    <row r="577" spans="1:18" ht="12.75" customHeight="1" x14ac:dyDescent="0.2">
      <c r="A577" s="65"/>
      <c r="B577" s="66"/>
      <c r="C577" s="67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</row>
    <row r="578" spans="1:18" ht="12.75" customHeight="1" x14ac:dyDescent="0.2">
      <c r="A578" s="65"/>
      <c r="B578" s="66"/>
      <c r="C578" s="67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</row>
    <row r="579" spans="1:18" ht="12.75" customHeight="1" x14ac:dyDescent="0.2">
      <c r="A579" s="65"/>
      <c r="B579" s="66"/>
      <c r="C579" s="67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</row>
    <row r="580" spans="1:18" ht="12.75" customHeight="1" x14ac:dyDescent="0.2">
      <c r="A580" s="65"/>
      <c r="B580" s="66"/>
      <c r="C580" s="67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</row>
    <row r="581" spans="1:18" ht="12.75" customHeight="1" x14ac:dyDescent="0.2">
      <c r="A581" s="65"/>
      <c r="B581" s="66"/>
      <c r="C581" s="67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</row>
    <row r="582" spans="1:18" ht="12.75" customHeight="1" x14ac:dyDescent="0.2">
      <c r="A582" s="65"/>
      <c r="B582" s="66"/>
      <c r="C582" s="67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</row>
    <row r="583" spans="1:18" ht="12.75" customHeight="1" x14ac:dyDescent="0.2">
      <c r="A583" s="65"/>
      <c r="B583" s="66"/>
      <c r="C583" s="67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</row>
    <row r="584" spans="1:18" ht="12.75" customHeight="1" x14ac:dyDescent="0.2">
      <c r="A584" s="65"/>
      <c r="B584" s="66"/>
      <c r="C584" s="67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</row>
    <row r="585" spans="1:18" ht="12.75" customHeight="1" x14ac:dyDescent="0.2">
      <c r="A585" s="65"/>
      <c r="B585" s="66"/>
      <c r="C585" s="67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</row>
    <row r="586" spans="1:18" ht="12.75" customHeight="1" x14ac:dyDescent="0.2">
      <c r="A586" s="65"/>
      <c r="B586" s="66"/>
      <c r="C586" s="67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</row>
    <row r="587" spans="1:18" ht="12.75" customHeight="1" x14ac:dyDescent="0.2">
      <c r="A587" s="65"/>
      <c r="B587" s="66"/>
      <c r="C587" s="67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</row>
    <row r="588" spans="1:18" ht="12.75" customHeight="1" x14ac:dyDescent="0.2">
      <c r="A588" s="65"/>
      <c r="B588" s="66"/>
      <c r="C588" s="67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</row>
    <row r="589" spans="1:18" ht="12.75" customHeight="1" x14ac:dyDescent="0.2">
      <c r="A589" s="65"/>
      <c r="B589" s="66"/>
      <c r="C589" s="67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</row>
    <row r="590" spans="1:18" ht="12.75" customHeight="1" x14ac:dyDescent="0.2">
      <c r="A590" s="65"/>
      <c r="B590" s="66"/>
      <c r="C590" s="67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</row>
    <row r="591" spans="1:18" ht="12.75" customHeight="1" x14ac:dyDescent="0.2">
      <c r="A591" s="65"/>
      <c r="B591" s="66"/>
      <c r="C591" s="67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</row>
    <row r="592" spans="1:18" ht="12.75" customHeight="1" x14ac:dyDescent="0.2">
      <c r="A592" s="65"/>
      <c r="B592" s="66"/>
      <c r="C592" s="67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</row>
    <row r="593" spans="1:18" ht="12.75" customHeight="1" x14ac:dyDescent="0.2">
      <c r="A593" s="65"/>
      <c r="B593" s="66"/>
      <c r="C593" s="67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</row>
    <row r="594" spans="1:18" ht="12.75" customHeight="1" x14ac:dyDescent="0.2">
      <c r="A594" s="65"/>
      <c r="B594" s="66"/>
      <c r="C594" s="67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</row>
    <row r="595" spans="1:18" ht="12.75" customHeight="1" x14ac:dyDescent="0.2">
      <c r="A595" s="65"/>
      <c r="B595" s="66"/>
      <c r="C595" s="67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</row>
    <row r="596" spans="1:18" ht="12.75" customHeight="1" x14ac:dyDescent="0.2">
      <c r="A596" s="65"/>
      <c r="B596" s="66"/>
      <c r="C596" s="67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</row>
    <row r="597" spans="1:18" ht="12.75" customHeight="1" x14ac:dyDescent="0.2">
      <c r="A597" s="65"/>
      <c r="B597" s="66"/>
      <c r="C597" s="67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</row>
    <row r="598" spans="1:18" ht="12.75" customHeight="1" x14ac:dyDescent="0.2">
      <c r="A598" s="65"/>
      <c r="B598" s="66"/>
      <c r="C598" s="67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</row>
    <row r="599" spans="1:18" ht="12.75" customHeight="1" x14ac:dyDescent="0.2">
      <c r="A599" s="65"/>
      <c r="B599" s="66"/>
      <c r="C599" s="67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</row>
    <row r="600" spans="1:18" ht="12.75" customHeight="1" x14ac:dyDescent="0.2">
      <c r="A600" s="65"/>
      <c r="B600" s="66"/>
      <c r="C600" s="67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</row>
    <row r="601" spans="1:18" ht="12.75" customHeight="1" x14ac:dyDescent="0.2">
      <c r="A601" s="65"/>
      <c r="B601" s="66"/>
      <c r="C601" s="67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</row>
    <row r="602" spans="1:18" ht="12.75" customHeight="1" x14ac:dyDescent="0.2">
      <c r="A602" s="65"/>
      <c r="B602" s="66"/>
      <c r="C602" s="67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</row>
    <row r="603" spans="1:18" ht="12.75" customHeight="1" x14ac:dyDescent="0.2">
      <c r="A603" s="65"/>
      <c r="B603" s="66"/>
      <c r="C603" s="67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</row>
    <row r="604" spans="1:18" ht="12.75" customHeight="1" x14ac:dyDescent="0.2">
      <c r="A604" s="65"/>
      <c r="B604" s="66"/>
      <c r="C604" s="67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</row>
    <row r="605" spans="1:18" ht="12.75" customHeight="1" x14ac:dyDescent="0.2">
      <c r="A605" s="65"/>
      <c r="B605" s="66"/>
      <c r="C605" s="67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</row>
    <row r="606" spans="1:18" ht="12.75" customHeight="1" x14ac:dyDescent="0.2">
      <c r="A606" s="65"/>
      <c r="B606" s="66"/>
      <c r="C606" s="67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</row>
    <row r="607" spans="1:18" ht="12.75" customHeight="1" x14ac:dyDescent="0.2">
      <c r="A607" s="65"/>
      <c r="B607" s="66"/>
      <c r="C607" s="67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</row>
    <row r="608" spans="1:18" ht="12.75" customHeight="1" x14ac:dyDescent="0.2">
      <c r="A608" s="65"/>
      <c r="B608" s="66"/>
      <c r="C608" s="67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</row>
    <row r="609" spans="1:18" ht="12.75" customHeight="1" x14ac:dyDescent="0.2">
      <c r="A609" s="65"/>
      <c r="B609" s="66"/>
      <c r="C609" s="67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</row>
    <row r="610" spans="1:18" ht="12.75" customHeight="1" x14ac:dyDescent="0.2">
      <c r="A610" s="65"/>
      <c r="B610" s="66"/>
      <c r="C610" s="67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</row>
    <row r="611" spans="1:18" ht="12.75" customHeight="1" x14ac:dyDescent="0.2">
      <c r="A611" s="65"/>
      <c r="B611" s="66"/>
      <c r="C611" s="67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</row>
    <row r="612" spans="1:18" ht="12.75" customHeight="1" x14ac:dyDescent="0.2">
      <c r="A612" s="65"/>
      <c r="B612" s="66"/>
      <c r="C612" s="67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</row>
    <row r="613" spans="1:18" ht="12.75" customHeight="1" x14ac:dyDescent="0.2">
      <c r="A613" s="65"/>
      <c r="B613" s="66"/>
      <c r="C613" s="67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</row>
    <row r="614" spans="1:18" ht="12.75" customHeight="1" x14ac:dyDescent="0.2">
      <c r="A614" s="65"/>
      <c r="B614" s="66"/>
      <c r="C614" s="67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</row>
    <row r="615" spans="1:18" ht="12.75" customHeight="1" x14ac:dyDescent="0.2">
      <c r="A615" s="65"/>
      <c r="B615" s="66"/>
      <c r="C615" s="67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</row>
    <row r="616" spans="1:18" ht="12.75" customHeight="1" x14ac:dyDescent="0.2">
      <c r="A616" s="65"/>
      <c r="B616" s="66"/>
      <c r="C616" s="67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</row>
    <row r="617" spans="1:18" ht="12.75" customHeight="1" x14ac:dyDescent="0.2">
      <c r="A617" s="65"/>
      <c r="B617" s="66"/>
      <c r="C617" s="67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</row>
    <row r="618" spans="1:18" ht="12.75" customHeight="1" x14ac:dyDescent="0.2">
      <c r="A618" s="65"/>
      <c r="B618" s="66"/>
      <c r="C618" s="67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</row>
    <row r="619" spans="1:18" ht="12.75" customHeight="1" x14ac:dyDescent="0.2">
      <c r="A619" s="65"/>
      <c r="B619" s="66"/>
      <c r="C619" s="67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</row>
    <row r="620" spans="1:18" ht="12.75" customHeight="1" x14ac:dyDescent="0.2">
      <c r="A620" s="65"/>
      <c r="B620" s="66"/>
      <c r="C620" s="67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</row>
    <row r="621" spans="1:18" ht="12.75" customHeight="1" x14ac:dyDescent="0.2">
      <c r="A621" s="65"/>
      <c r="B621" s="66"/>
      <c r="C621" s="67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</row>
    <row r="622" spans="1:18" ht="12.75" customHeight="1" x14ac:dyDescent="0.2">
      <c r="A622" s="65"/>
      <c r="B622" s="66"/>
      <c r="C622" s="67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</row>
    <row r="623" spans="1:18" ht="12.75" customHeight="1" x14ac:dyDescent="0.2">
      <c r="A623" s="65"/>
      <c r="B623" s="66"/>
      <c r="C623" s="67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</row>
    <row r="624" spans="1:18" ht="12.75" customHeight="1" x14ac:dyDescent="0.2">
      <c r="A624" s="65"/>
      <c r="B624" s="66"/>
      <c r="C624" s="67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</row>
    <row r="625" spans="1:18" ht="12.75" customHeight="1" x14ac:dyDescent="0.2">
      <c r="A625" s="65"/>
      <c r="B625" s="66"/>
      <c r="C625" s="67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</row>
    <row r="626" spans="1:18" ht="12.75" customHeight="1" x14ac:dyDescent="0.2">
      <c r="A626" s="65"/>
      <c r="B626" s="66"/>
      <c r="C626" s="67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</row>
    <row r="627" spans="1:18" ht="12.75" customHeight="1" x14ac:dyDescent="0.2">
      <c r="A627" s="65"/>
      <c r="B627" s="66"/>
      <c r="C627" s="67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</row>
    <row r="628" spans="1:18" ht="12.75" customHeight="1" x14ac:dyDescent="0.2">
      <c r="A628" s="65"/>
      <c r="B628" s="66"/>
      <c r="C628" s="67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</row>
    <row r="629" spans="1:18" ht="12.75" customHeight="1" x14ac:dyDescent="0.2">
      <c r="A629" s="65"/>
      <c r="B629" s="66"/>
      <c r="C629" s="67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</row>
    <row r="630" spans="1:18" ht="12.75" customHeight="1" x14ac:dyDescent="0.2">
      <c r="A630" s="65"/>
      <c r="B630" s="66"/>
      <c r="C630" s="67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</row>
    <row r="631" spans="1:18" ht="12.75" customHeight="1" x14ac:dyDescent="0.2">
      <c r="A631" s="65"/>
      <c r="B631" s="66"/>
      <c r="C631" s="67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</row>
    <row r="632" spans="1:18" ht="12.75" customHeight="1" x14ac:dyDescent="0.2">
      <c r="A632" s="65"/>
      <c r="B632" s="66"/>
      <c r="C632" s="67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</row>
    <row r="633" spans="1:18" ht="12.75" customHeight="1" x14ac:dyDescent="0.2">
      <c r="A633" s="65"/>
      <c r="B633" s="66"/>
      <c r="C633" s="67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</row>
    <row r="634" spans="1:18" ht="12.75" customHeight="1" x14ac:dyDescent="0.2">
      <c r="A634" s="65"/>
      <c r="B634" s="66"/>
      <c r="C634" s="67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</row>
    <row r="635" spans="1:18" ht="12.75" customHeight="1" x14ac:dyDescent="0.2">
      <c r="A635" s="65"/>
      <c r="B635" s="66"/>
      <c r="C635" s="67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</row>
    <row r="636" spans="1:18" ht="12.75" customHeight="1" x14ac:dyDescent="0.2">
      <c r="A636" s="65"/>
      <c r="B636" s="66"/>
      <c r="C636" s="67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</row>
    <row r="637" spans="1:18" ht="12.75" customHeight="1" x14ac:dyDescent="0.2">
      <c r="A637" s="65"/>
      <c r="B637" s="66"/>
      <c r="C637" s="67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</row>
    <row r="638" spans="1:18" ht="12.75" customHeight="1" x14ac:dyDescent="0.2">
      <c r="A638" s="65"/>
      <c r="B638" s="66"/>
      <c r="C638" s="67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</row>
    <row r="639" spans="1:18" ht="12.75" customHeight="1" x14ac:dyDescent="0.2">
      <c r="A639" s="65"/>
      <c r="B639" s="66"/>
      <c r="C639" s="67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</row>
    <row r="640" spans="1:18" ht="12.75" customHeight="1" x14ac:dyDescent="0.2">
      <c r="A640" s="65"/>
      <c r="B640" s="66"/>
      <c r="C640" s="67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</row>
    <row r="641" spans="1:18" ht="12.75" customHeight="1" x14ac:dyDescent="0.2">
      <c r="A641" s="65"/>
      <c r="B641" s="66"/>
      <c r="C641" s="67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</row>
    <row r="642" spans="1:18" ht="12.75" customHeight="1" x14ac:dyDescent="0.2">
      <c r="A642" s="65"/>
      <c r="B642" s="66"/>
      <c r="C642" s="67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</row>
    <row r="643" spans="1:18" ht="12.75" customHeight="1" x14ac:dyDescent="0.2">
      <c r="A643" s="65"/>
      <c r="B643" s="66"/>
      <c r="C643" s="67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</row>
    <row r="644" spans="1:18" ht="12.75" customHeight="1" x14ac:dyDescent="0.2">
      <c r="A644" s="65"/>
      <c r="B644" s="66"/>
      <c r="C644" s="67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</row>
    <row r="645" spans="1:18" ht="12.75" customHeight="1" x14ac:dyDescent="0.2">
      <c r="A645" s="65"/>
      <c r="B645" s="66"/>
      <c r="C645" s="67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</row>
    <row r="646" spans="1:18" ht="12.75" customHeight="1" x14ac:dyDescent="0.2">
      <c r="A646" s="65"/>
      <c r="B646" s="66"/>
      <c r="C646" s="67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</row>
    <row r="647" spans="1:18" ht="12.75" customHeight="1" x14ac:dyDescent="0.2">
      <c r="A647" s="65"/>
      <c r="B647" s="66"/>
      <c r="C647" s="67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</row>
    <row r="648" spans="1:18" ht="12.75" customHeight="1" x14ac:dyDescent="0.2">
      <c r="A648" s="65"/>
      <c r="B648" s="66"/>
      <c r="C648" s="67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</row>
    <row r="649" spans="1:18" ht="12.75" customHeight="1" x14ac:dyDescent="0.2">
      <c r="A649" s="65"/>
      <c r="B649" s="66"/>
      <c r="C649" s="67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</row>
    <row r="650" spans="1:18" ht="12.75" customHeight="1" x14ac:dyDescent="0.2">
      <c r="A650" s="65"/>
      <c r="B650" s="66"/>
      <c r="C650" s="67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</row>
    <row r="651" spans="1:18" ht="12.75" customHeight="1" x14ac:dyDescent="0.2">
      <c r="A651" s="65"/>
      <c r="B651" s="66"/>
      <c r="C651" s="67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</row>
    <row r="652" spans="1:18" ht="12.75" customHeight="1" x14ac:dyDescent="0.2">
      <c r="A652" s="65"/>
      <c r="B652" s="66"/>
      <c r="C652" s="67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</row>
    <row r="653" spans="1:18" ht="12.75" customHeight="1" x14ac:dyDescent="0.2">
      <c r="A653" s="65"/>
      <c r="B653" s="66"/>
      <c r="C653" s="67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</row>
    <row r="654" spans="1:18" ht="12.75" customHeight="1" x14ac:dyDescent="0.2">
      <c r="A654" s="65"/>
      <c r="B654" s="66"/>
      <c r="C654" s="67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</row>
    <row r="655" spans="1:18" ht="12.75" customHeight="1" x14ac:dyDescent="0.2">
      <c r="A655" s="65"/>
      <c r="B655" s="66"/>
      <c r="C655" s="67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</row>
    <row r="656" spans="1:18" ht="12.75" customHeight="1" x14ac:dyDescent="0.2">
      <c r="A656" s="65"/>
      <c r="B656" s="66"/>
      <c r="C656" s="67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</row>
    <row r="657" spans="1:18" ht="12.75" customHeight="1" x14ac:dyDescent="0.2">
      <c r="A657" s="65"/>
      <c r="B657" s="66"/>
      <c r="C657" s="67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</row>
    <row r="658" spans="1:18" ht="12.75" customHeight="1" x14ac:dyDescent="0.2">
      <c r="A658" s="65"/>
      <c r="B658" s="66"/>
      <c r="C658" s="67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</row>
    <row r="659" spans="1:18" ht="12.75" customHeight="1" x14ac:dyDescent="0.2">
      <c r="A659" s="65"/>
      <c r="B659" s="66"/>
      <c r="C659" s="67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</row>
    <row r="660" spans="1:18" ht="12.75" customHeight="1" x14ac:dyDescent="0.2">
      <c r="A660" s="65"/>
      <c r="B660" s="66"/>
      <c r="C660" s="67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</row>
    <row r="661" spans="1:18" ht="12.75" customHeight="1" x14ac:dyDescent="0.2">
      <c r="A661" s="65"/>
      <c r="B661" s="66"/>
      <c r="C661" s="67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</row>
    <row r="662" spans="1:18" ht="12.75" customHeight="1" x14ac:dyDescent="0.2">
      <c r="A662" s="65"/>
      <c r="B662" s="66"/>
      <c r="C662" s="67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</row>
    <row r="663" spans="1:18" ht="12.75" customHeight="1" x14ac:dyDescent="0.2">
      <c r="A663" s="65"/>
      <c r="B663" s="66"/>
      <c r="C663" s="67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</row>
    <row r="664" spans="1:18" ht="12.75" customHeight="1" x14ac:dyDescent="0.2">
      <c r="A664" s="65"/>
      <c r="B664" s="66"/>
      <c r="C664" s="67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</row>
    <row r="665" spans="1:18" ht="12.75" customHeight="1" x14ac:dyDescent="0.2">
      <c r="A665" s="65"/>
      <c r="B665" s="66"/>
      <c r="C665" s="67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</row>
    <row r="666" spans="1:18" ht="12.75" customHeight="1" x14ac:dyDescent="0.2">
      <c r="A666" s="65"/>
      <c r="B666" s="66"/>
      <c r="C666" s="67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</row>
    <row r="667" spans="1:18" ht="12.75" customHeight="1" x14ac:dyDescent="0.2">
      <c r="A667" s="65"/>
      <c r="B667" s="66"/>
      <c r="C667" s="67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</row>
    <row r="668" spans="1:18" ht="12.75" customHeight="1" x14ac:dyDescent="0.2">
      <c r="A668" s="65"/>
      <c r="B668" s="66"/>
      <c r="C668" s="67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</row>
    <row r="669" spans="1:18" ht="12.75" customHeight="1" x14ac:dyDescent="0.2">
      <c r="A669" s="65"/>
      <c r="B669" s="66"/>
      <c r="C669" s="67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</row>
    <row r="670" spans="1:18" ht="12.75" customHeight="1" x14ac:dyDescent="0.2">
      <c r="A670" s="65"/>
      <c r="B670" s="66"/>
      <c r="C670" s="67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</row>
    <row r="671" spans="1:18" ht="12.75" customHeight="1" x14ac:dyDescent="0.2">
      <c r="A671" s="65"/>
      <c r="B671" s="66"/>
      <c r="C671" s="67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</row>
    <row r="672" spans="1:18" ht="12.75" customHeight="1" x14ac:dyDescent="0.2">
      <c r="A672" s="65"/>
      <c r="B672" s="66"/>
      <c r="C672" s="67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</row>
    <row r="673" spans="1:18" ht="12.75" customHeight="1" x14ac:dyDescent="0.2">
      <c r="A673" s="65"/>
      <c r="B673" s="66"/>
      <c r="C673" s="67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</row>
    <row r="674" spans="1:18" ht="12.75" customHeight="1" x14ac:dyDescent="0.2">
      <c r="A674" s="65"/>
      <c r="B674" s="66"/>
      <c r="C674" s="67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</row>
    <row r="675" spans="1:18" ht="12.75" customHeight="1" x14ac:dyDescent="0.2">
      <c r="A675" s="65"/>
      <c r="B675" s="66"/>
      <c r="C675" s="67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</row>
    <row r="676" spans="1:18" ht="12.75" customHeight="1" x14ac:dyDescent="0.2">
      <c r="A676" s="65"/>
      <c r="B676" s="66"/>
      <c r="C676" s="67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</row>
    <row r="677" spans="1:18" ht="12.75" customHeight="1" x14ac:dyDescent="0.2">
      <c r="A677" s="65"/>
      <c r="B677" s="66"/>
      <c r="C677" s="67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</row>
    <row r="678" spans="1:18" ht="12.75" customHeight="1" x14ac:dyDescent="0.2">
      <c r="A678" s="65"/>
      <c r="B678" s="66"/>
      <c r="C678" s="67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</row>
    <row r="679" spans="1:18" ht="12.75" customHeight="1" x14ac:dyDescent="0.2">
      <c r="A679" s="65"/>
      <c r="B679" s="66"/>
      <c r="C679" s="67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</row>
    <row r="680" spans="1:18" ht="12.75" customHeight="1" x14ac:dyDescent="0.2">
      <c r="A680" s="65"/>
      <c r="B680" s="66"/>
      <c r="C680" s="67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</row>
    <row r="681" spans="1:18" ht="12.75" customHeight="1" x14ac:dyDescent="0.2">
      <c r="A681" s="65"/>
      <c r="B681" s="66"/>
      <c r="C681" s="67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</row>
    <row r="682" spans="1:18" ht="12.75" customHeight="1" x14ac:dyDescent="0.2">
      <c r="A682" s="65"/>
      <c r="B682" s="66"/>
      <c r="C682" s="67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</row>
    <row r="683" spans="1:18" ht="12.75" customHeight="1" x14ac:dyDescent="0.2">
      <c r="A683" s="65"/>
      <c r="B683" s="66"/>
      <c r="C683" s="67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</row>
    <row r="684" spans="1:18" ht="12.75" customHeight="1" x14ac:dyDescent="0.2">
      <c r="A684" s="65"/>
      <c r="B684" s="66"/>
      <c r="C684" s="67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</row>
    <row r="685" spans="1:18" ht="12.75" customHeight="1" x14ac:dyDescent="0.2">
      <c r="A685" s="65"/>
      <c r="B685" s="66"/>
      <c r="C685" s="67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</row>
    <row r="686" spans="1:18" ht="12.75" customHeight="1" x14ac:dyDescent="0.2">
      <c r="A686" s="65"/>
      <c r="B686" s="66"/>
      <c r="C686" s="67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</row>
    <row r="687" spans="1:18" ht="12.75" customHeight="1" x14ac:dyDescent="0.2">
      <c r="A687" s="65"/>
      <c r="B687" s="66"/>
      <c r="C687" s="67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</row>
    <row r="688" spans="1:18" ht="12.75" customHeight="1" x14ac:dyDescent="0.2">
      <c r="A688" s="65"/>
      <c r="B688" s="66"/>
      <c r="C688" s="67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</row>
    <row r="689" spans="1:18" ht="12.75" customHeight="1" x14ac:dyDescent="0.2">
      <c r="A689" s="65"/>
      <c r="B689" s="66"/>
      <c r="C689" s="67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</row>
    <row r="690" spans="1:18" ht="12.75" customHeight="1" x14ac:dyDescent="0.2">
      <c r="A690" s="65"/>
      <c r="B690" s="66"/>
      <c r="C690" s="67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</row>
    <row r="691" spans="1:18" ht="12.75" customHeight="1" x14ac:dyDescent="0.2">
      <c r="A691" s="65"/>
      <c r="B691" s="66"/>
      <c r="C691" s="67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</row>
    <row r="692" spans="1:18" ht="12.75" customHeight="1" x14ac:dyDescent="0.2">
      <c r="A692" s="65"/>
      <c r="B692" s="66"/>
      <c r="C692" s="67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</row>
    <row r="693" spans="1:18" ht="12.75" customHeight="1" x14ac:dyDescent="0.2">
      <c r="A693" s="65"/>
      <c r="B693" s="66"/>
      <c r="C693" s="67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</row>
    <row r="694" spans="1:18" ht="12.75" customHeight="1" x14ac:dyDescent="0.2">
      <c r="A694" s="65"/>
      <c r="B694" s="66"/>
      <c r="C694" s="67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</row>
    <row r="695" spans="1:18" ht="12.75" customHeight="1" x14ac:dyDescent="0.2">
      <c r="A695" s="65"/>
      <c r="B695" s="66"/>
      <c r="C695" s="67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</row>
    <row r="696" spans="1:18" ht="12.75" customHeight="1" x14ac:dyDescent="0.2">
      <c r="A696" s="65"/>
      <c r="B696" s="66"/>
      <c r="C696" s="67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</row>
    <row r="697" spans="1:18" ht="12.75" customHeight="1" x14ac:dyDescent="0.2">
      <c r="A697" s="65"/>
      <c r="B697" s="66"/>
      <c r="C697" s="67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</row>
    <row r="698" spans="1:18" ht="12.75" customHeight="1" x14ac:dyDescent="0.2">
      <c r="A698" s="65"/>
      <c r="B698" s="66"/>
      <c r="C698" s="67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</row>
    <row r="699" spans="1:18" ht="12.75" customHeight="1" x14ac:dyDescent="0.2">
      <c r="A699" s="65"/>
      <c r="B699" s="66"/>
      <c r="C699" s="67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</row>
    <row r="700" spans="1:18" ht="12.75" customHeight="1" x14ac:dyDescent="0.2">
      <c r="A700" s="65"/>
      <c r="B700" s="66"/>
      <c r="C700" s="67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</row>
    <row r="701" spans="1:18" ht="12.75" customHeight="1" x14ac:dyDescent="0.2">
      <c r="A701" s="65"/>
      <c r="B701" s="66"/>
      <c r="C701" s="67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</row>
    <row r="702" spans="1:18" ht="12.75" customHeight="1" x14ac:dyDescent="0.2">
      <c r="A702" s="65"/>
      <c r="B702" s="66"/>
      <c r="C702" s="67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</row>
    <row r="703" spans="1:18" ht="12.75" customHeight="1" x14ac:dyDescent="0.2">
      <c r="A703" s="65"/>
      <c r="B703" s="66"/>
      <c r="C703" s="67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</row>
    <row r="704" spans="1:18" ht="12.75" customHeight="1" x14ac:dyDescent="0.2">
      <c r="A704" s="65"/>
      <c r="B704" s="66"/>
      <c r="C704" s="67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</row>
    <row r="705" spans="1:18" ht="12.75" customHeight="1" x14ac:dyDescent="0.2">
      <c r="A705" s="65"/>
      <c r="B705" s="66"/>
      <c r="C705" s="67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</row>
    <row r="706" spans="1:18" ht="12.75" customHeight="1" x14ac:dyDescent="0.2">
      <c r="A706" s="65"/>
      <c r="B706" s="66"/>
      <c r="C706" s="67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</row>
    <row r="707" spans="1:18" ht="12.75" customHeight="1" x14ac:dyDescent="0.2">
      <c r="A707" s="65"/>
      <c r="B707" s="66"/>
      <c r="C707" s="67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</row>
    <row r="708" spans="1:18" ht="12.75" customHeight="1" x14ac:dyDescent="0.2">
      <c r="A708" s="65"/>
      <c r="B708" s="66"/>
      <c r="C708" s="67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</row>
    <row r="709" spans="1:18" ht="12.75" customHeight="1" x14ac:dyDescent="0.2">
      <c r="A709" s="65"/>
      <c r="B709" s="66"/>
      <c r="C709" s="67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</row>
    <row r="710" spans="1:18" ht="12.75" customHeight="1" x14ac:dyDescent="0.2">
      <c r="A710" s="65"/>
      <c r="B710" s="66"/>
      <c r="C710" s="67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</row>
    <row r="711" spans="1:18" ht="12.75" customHeight="1" x14ac:dyDescent="0.2">
      <c r="A711" s="65"/>
      <c r="B711" s="66"/>
      <c r="C711" s="67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</row>
    <row r="712" spans="1:18" ht="12.75" customHeight="1" x14ac:dyDescent="0.2">
      <c r="A712" s="65"/>
      <c r="B712" s="66"/>
      <c r="C712" s="67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</row>
    <row r="713" spans="1:18" ht="12.75" customHeight="1" x14ac:dyDescent="0.2">
      <c r="A713" s="65"/>
      <c r="B713" s="66"/>
      <c r="C713" s="67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</row>
    <row r="714" spans="1:18" ht="12.75" customHeight="1" x14ac:dyDescent="0.2">
      <c r="A714" s="65"/>
      <c r="B714" s="66"/>
      <c r="C714" s="67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</row>
    <row r="715" spans="1:18" ht="12.75" customHeight="1" x14ac:dyDescent="0.2">
      <c r="A715" s="65"/>
      <c r="B715" s="66"/>
      <c r="C715" s="67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</row>
    <row r="716" spans="1:18" ht="12.75" customHeight="1" x14ac:dyDescent="0.2">
      <c r="A716" s="65"/>
      <c r="B716" s="66"/>
      <c r="C716" s="67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</row>
    <row r="717" spans="1:18" ht="12.75" customHeight="1" x14ac:dyDescent="0.2">
      <c r="A717" s="65"/>
      <c r="B717" s="66"/>
      <c r="C717" s="67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</row>
    <row r="718" spans="1:18" ht="12.75" customHeight="1" x14ac:dyDescent="0.2">
      <c r="A718" s="65"/>
      <c r="B718" s="66"/>
      <c r="C718" s="67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</row>
    <row r="719" spans="1:18" ht="12.75" customHeight="1" x14ac:dyDescent="0.2">
      <c r="A719" s="65"/>
      <c r="B719" s="66"/>
      <c r="C719" s="67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</row>
    <row r="720" spans="1:18" ht="12.75" customHeight="1" x14ac:dyDescent="0.2">
      <c r="A720" s="65"/>
      <c r="B720" s="66"/>
      <c r="C720" s="67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</row>
    <row r="721" spans="1:18" ht="12.75" customHeight="1" x14ac:dyDescent="0.2">
      <c r="A721" s="65"/>
      <c r="B721" s="66"/>
      <c r="C721" s="67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</row>
    <row r="722" spans="1:18" ht="12.75" customHeight="1" x14ac:dyDescent="0.2">
      <c r="A722" s="65"/>
      <c r="B722" s="66"/>
      <c r="C722" s="67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</row>
    <row r="723" spans="1:18" ht="12.75" customHeight="1" x14ac:dyDescent="0.2">
      <c r="A723" s="65"/>
      <c r="B723" s="66"/>
      <c r="C723" s="67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</row>
    <row r="724" spans="1:18" ht="12.75" customHeight="1" x14ac:dyDescent="0.2">
      <c r="A724" s="65"/>
      <c r="B724" s="66"/>
      <c r="C724" s="67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</row>
    <row r="725" spans="1:18" ht="12.75" customHeight="1" x14ac:dyDescent="0.2">
      <c r="A725" s="65"/>
      <c r="B725" s="66"/>
      <c r="C725" s="67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</row>
    <row r="726" spans="1:18" ht="12.75" customHeight="1" x14ac:dyDescent="0.2">
      <c r="A726" s="65"/>
      <c r="B726" s="66"/>
      <c r="C726" s="67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</row>
    <row r="727" spans="1:18" ht="12.75" customHeight="1" x14ac:dyDescent="0.2">
      <c r="A727" s="65"/>
      <c r="B727" s="66"/>
      <c r="C727" s="67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</row>
    <row r="728" spans="1:18" ht="12.75" customHeight="1" x14ac:dyDescent="0.2">
      <c r="A728" s="65"/>
      <c r="B728" s="66"/>
      <c r="C728" s="67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</row>
    <row r="729" spans="1:18" ht="12.75" customHeight="1" x14ac:dyDescent="0.2">
      <c r="A729" s="65"/>
      <c r="B729" s="66"/>
      <c r="C729" s="67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</row>
    <row r="730" spans="1:18" ht="12.75" customHeight="1" x14ac:dyDescent="0.2">
      <c r="A730" s="65"/>
      <c r="B730" s="66"/>
      <c r="C730" s="67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</row>
    <row r="731" spans="1:18" ht="12.75" customHeight="1" x14ac:dyDescent="0.2">
      <c r="A731" s="65"/>
      <c r="B731" s="66"/>
      <c r="C731" s="67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</row>
    <row r="732" spans="1:18" ht="12.75" customHeight="1" x14ac:dyDescent="0.2">
      <c r="A732" s="65"/>
      <c r="B732" s="66"/>
      <c r="C732" s="67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</row>
    <row r="733" spans="1:18" ht="12.75" customHeight="1" x14ac:dyDescent="0.2">
      <c r="A733" s="65"/>
      <c r="B733" s="66"/>
      <c r="C733" s="67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</row>
    <row r="734" spans="1:18" ht="12.75" customHeight="1" x14ac:dyDescent="0.2">
      <c r="A734" s="65"/>
      <c r="B734" s="66"/>
      <c r="C734" s="67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</row>
    <row r="735" spans="1:18" ht="12.75" customHeight="1" x14ac:dyDescent="0.2">
      <c r="A735" s="65"/>
      <c r="B735" s="66"/>
      <c r="C735" s="67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</row>
    <row r="736" spans="1:18" ht="12.75" customHeight="1" x14ac:dyDescent="0.2">
      <c r="A736" s="65"/>
      <c r="B736" s="66"/>
      <c r="C736" s="67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</row>
    <row r="737" spans="1:18" ht="12.75" customHeight="1" x14ac:dyDescent="0.2">
      <c r="A737" s="65"/>
      <c r="B737" s="66"/>
      <c r="C737" s="67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</row>
    <row r="738" spans="1:18" ht="12.75" customHeight="1" x14ac:dyDescent="0.2">
      <c r="A738" s="65"/>
      <c r="B738" s="66"/>
      <c r="C738" s="67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</row>
    <row r="739" spans="1:18" ht="12.75" customHeight="1" x14ac:dyDescent="0.2">
      <c r="A739" s="65"/>
      <c r="B739" s="66"/>
      <c r="C739" s="67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</row>
    <row r="740" spans="1:18" ht="12.75" customHeight="1" x14ac:dyDescent="0.2">
      <c r="A740" s="65"/>
      <c r="B740" s="66"/>
      <c r="C740" s="67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</row>
    <row r="741" spans="1:18" ht="12.75" customHeight="1" x14ac:dyDescent="0.2">
      <c r="A741" s="65"/>
      <c r="B741" s="66"/>
      <c r="C741" s="67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</row>
    <row r="742" spans="1:18" ht="12.75" customHeight="1" x14ac:dyDescent="0.2">
      <c r="A742" s="65"/>
      <c r="B742" s="66"/>
      <c r="C742" s="67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</row>
    <row r="743" spans="1:18" ht="12.75" customHeight="1" x14ac:dyDescent="0.2">
      <c r="A743" s="65"/>
      <c r="B743" s="66"/>
      <c r="C743" s="67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</row>
    <row r="744" spans="1:18" ht="12.75" customHeight="1" x14ac:dyDescent="0.2">
      <c r="A744" s="65"/>
      <c r="B744" s="66"/>
      <c r="C744" s="67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</row>
    <row r="745" spans="1:18" ht="12.75" customHeight="1" x14ac:dyDescent="0.2">
      <c r="A745" s="65"/>
      <c r="B745" s="66"/>
      <c r="C745" s="67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</row>
    <row r="746" spans="1:18" ht="12.75" customHeight="1" x14ac:dyDescent="0.2">
      <c r="A746" s="65"/>
      <c r="B746" s="66"/>
      <c r="C746" s="67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</row>
    <row r="747" spans="1:18" ht="12.75" customHeight="1" x14ac:dyDescent="0.2">
      <c r="A747" s="65"/>
      <c r="B747" s="66"/>
      <c r="C747" s="67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</row>
    <row r="748" spans="1:18" ht="12.75" customHeight="1" x14ac:dyDescent="0.2">
      <c r="A748" s="65"/>
      <c r="B748" s="66"/>
      <c r="C748" s="67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</row>
    <row r="749" spans="1:18" ht="12.75" customHeight="1" x14ac:dyDescent="0.2">
      <c r="A749" s="65"/>
      <c r="B749" s="66"/>
      <c r="C749" s="67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</row>
    <row r="750" spans="1:18" ht="12.75" customHeight="1" x14ac:dyDescent="0.2">
      <c r="A750" s="65"/>
      <c r="B750" s="66"/>
      <c r="C750" s="67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</row>
    <row r="751" spans="1:18" ht="12.75" customHeight="1" x14ac:dyDescent="0.2">
      <c r="A751" s="65"/>
      <c r="B751" s="66"/>
      <c r="C751" s="67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</row>
    <row r="752" spans="1:18" ht="12.75" customHeight="1" x14ac:dyDescent="0.2">
      <c r="A752" s="65"/>
      <c r="B752" s="66"/>
      <c r="C752" s="67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</row>
    <row r="753" spans="1:18" ht="12.75" customHeight="1" x14ac:dyDescent="0.2">
      <c r="A753" s="65"/>
      <c r="B753" s="66"/>
      <c r="C753" s="67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</row>
    <row r="754" spans="1:18" ht="12.75" customHeight="1" x14ac:dyDescent="0.2">
      <c r="A754" s="65"/>
      <c r="B754" s="66"/>
      <c r="C754" s="67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</row>
    <row r="755" spans="1:18" ht="12.75" customHeight="1" x14ac:dyDescent="0.2">
      <c r="A755" s="65"/>
      <c r="B755" s="66"/>
      <c r="C755" s="67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</row>
    <row r="756" spans="1:18" ht="12.75" customHeight="1" x14ac:dyDescent="0.2">
      <c r="A756" s="65"/>
      <c r="B756" s="66"/>
      <c r="C756" s="67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</row>
    <row r="757" spans="1:18" ht="12.75" customHeight="1" x14ac:dyDescent="0.2">
      <c r="A757" s="65"/>
      <c r="B757" s="66"/>
      <c r="C757" s="67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</row>
    <row r="758" spans="1:18" ht="12.75" customHeight="1" x14ac:dyDescent="0.2">
      <c r="A758" s="65"/>
      <c r="B758" s="66"/>
      <c r="C758" s="67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</row>
    <row r="759" spans="1:18" ht="12.75" customHeight="1" x14ac:dyDescent="0.2">
      <c r="A759" s="65"/>
      <c r="B759" s="66"/>
      <c r="C759" s="67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</row>
    <row r="760" spans="1:18" ht="12.75" customHeight="1" x14ac:dyDescent="0.2">
      <c r="A760" s="65"/>
      <c r="B760" s="66"/>
      <c r="C760" s="67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</row>
    <row r="761" spans="1:18" ht="12.75" customHeight="1" x14ac:dyDescent="0.2">
      <c r="A761" s="65"/>
      <c r="B761" s="66"/>
      <c r="C761" s="67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</row>
    <row r="762" spans="1:18" ht="12.75" customHeight="1" x14ac:dyDescent="0.2">
      <c r="A762" s="65"/>
      <c r="B762" s="66"/>
      <c r="C762" s="67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</row>
    <row r="763" spans="1:18" ht="12.75" customHeight="1" x14ac:dyDescent="0.2">
      <c r="A763" s="65"/>
      <c r="B763" s="66"/>
      <c r="C763" s="67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</row>
    <row r="764" spans="1:18" ht="12.75" customHeight="1" x14ac:dyDescent="0.2">
      <c r="A764" s="65"/>
      <c r="B764" s="66"/>
      <c r="C764" s="67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</row>
    <row r="765" spans="1:18" ht="12.75" customHeight="1" x14ac:dyDescent="0.2">
      <c r="A765" s="65"/>
      <c r="B765" s="66"/>
      <c r="C765" s="67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</row>
    <row r="766" spans="1:18" ht="12.75" customHeight="1" x14ac:dyDescent="0.2">
      <c r="A766" s="65"/>
      <c r="B766" s="66"/>
      <c r="C766" s="67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</row>
    <row r="767" spans="1:18" ht="12.75" customHeight="1" x14ac:dyDescent="0.2">
      <c r="A767" s="65"/>
      <c r="B767" s="66"/>
      <c r="C767" s="67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</row>
    <row r="768" spans="1:18" ht="12.75" customHeight="1" x14ac:dyDescent="0.2">
      <c r="A768" s="65"/>
      <c r="B768" s="66"/>
      <c r="C768" s="67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</row>
    <row r="769" spans="1:18" ht="12.75" customHeight="1" x14ac:dyDescent="0.2">
      <c r="A769" s="65"/>
      <c r="B769" s="66"/>
      <c r="C769" s="67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</row>
    <row r="770" spans="1:18" ht="12.75" customHeight="1" x14ac:dyDescent="0.2">
      <c r="A770" s="65"/>
      <c r="B770" s="66"/>
      <c r="C770" s="67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</row>
    <row r="771" spans="1:18" ht="12.75" customHeight="1" x14ac:dyDescent="0.2">
      <c r="A771" s="65"/>
      <c r="B771" s="66"/>
      <c r="C771" s="67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</row>
    <row r="772" spans="1:18" ht="12.75" customHeight="1" x14ac:dyDescent="0.2">
      <c r="A772" s="65"/>
      <c r="B772" s="66"/>
      <c r="C772" s="67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</row>
    <row r="773" spans="1:18" ht="12.75" customHeight="1" x14ac:dyDescent="0.2">
      <c r="A773" s="65"/>
      <c r="B773" s="66"/>
      <c r="C773" s="67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</row>
    <row r="774" spans="1:18" ht="12.75" customHeight="1" x14ac:dyDescent="0.2">
      <c r="A774" s="65"/>
      <c r="B774" s="66"/>
      <c r="C774" s="67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</row>
    <row r="775" spans="1:18" ht="12.75" customHeight="1" x14ac:dyDescent="0.2">
      <c r="A775" s="65"/>
      <c r="B775" s="66"/>
      <c r="C775" s="67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</row>
    <row r="776" spans="1:18" ht="12.75" customHeight="1" x14ac:dyDescent="0.2">
      <c r="A776" s="65"/>
      <c r="B776" s="66"/>
      <c r="C776" s="67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</row>
    <row r="777" spans="1:18" ht="12.75" customHeight="1" x14ac:dyDescent="0.2">
      <c r="A777" s="65"/>
      <c r="B777" s="66"/>
      <c r="C777" s="67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</row>
    <row r="778" spans="1:18" ht="12.75" customHeight="1" x14ac:dyDescent="0.2">
      <c r="A778" s="65"/>
      <c r="B778" s="66"/>
      <c r="C778" s="67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</row>
    <row r="779" spans="1:18" ht="12.75" customHeight="1" x14ac:dyDescent="0.2">
      <c r="A779" s="65"/>
      <c r="B779" s="66"/>
      <c r="C779" s="67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</row>
    <row r="780" spans="1:18" ht="12.75" customHeight="1" x14ac:dyDescent="0.2">
      <c r="A780" s="65"/>
      <c r="B780" s="66"/>
      <c r="C780" s="67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</row>
    <row r="781" spans="1:18" ht="12.75" customHeight="1" x14ac:dyDescent="0.2">
      <c r="A781" s="65"/>
      <c r="B781" s="66"/>
      <c r="C781" s="67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</row>
    <row r="782" spans="1:18" ht="12.75" customHeight="1" x14ac:dyDescent="0.2">
      <c r="A782" s="65"/>
      <c r="B782" s="66"/>
      <c r="C782" s="67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</row>
    <row r="783" spans="1:18" ht="12.75" customHeight="1" x14ac:dyDescent="0.2">
      <c r="A783" s="65"/>
      <c r="B783" s="66"/>
      <c r="C783" s="67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</row>
    <row r="784" spans="1:18" ht="12.75" customHeight="1" x14ac:dyDescent="0.2">
      <c r="A784" s="65"/>
      <c r="B784" s="66"/>
      <c r="C784" s="67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</row>
    <row r="785" spans="1:18" ht="12.75" customHeight="1" x14ac:dyDescent="0.2">
      <c r="A785" s="65"/>
      <c r="B785" s="66"/>
      <c r="C785" s="67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</row>
    <row r="786" spans="1:18" ht="12.75" customHeight="1" x14ac:dyDescent="0.2">
      <c r="A786" s="65"/>
      <c r="B786" s="66"/>
      <c r="C786" s="67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</row>
    <row r="787" spans="1:18" ht="12.75" customHeight="1" x14ac:dyDescent="0.2">
      <c r="A787" s="65"/>
      <c r="B787" s="66"/>
      <c r="C787" s="67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</row>
    <row r="788" spans="1:18" ht="12.75" customHeight="1" x14ac:dyDescent="0.2">
      <c r="A788" s="65"/>
      <c r="B788" s="66"/>
      <c r="C788" s="67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</row>
    <row r="789" spans="1:18" ht="12.75" customHeight="1" x14ac:dyDescent="0.2">
      <c r="A789" s="65"/>
      <c r="B789" s="66"/>
      <c r="C789" s="67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</row>
    <row r="790" spans="1:18" ht="12.75" customHeight="1" x14ac:dyDescent="0.2">
      <c r="A790" s="65"/>
      <c r="B790" s="66"/>
      <c r="C790" s="67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</row>
    <row r="791" spans="1:18" ht="12.75" customHeight="1" x14ac:dyDescent="0.2">
      <c r="A791" s="65"/>
      <c r="B791" s="66"/>
      <c r="C791" s="67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</row>
    <row r="792" spans="1:18" ht="12.75" customHeight="1" x14ac:dyDescent="0.2">
      <c r="A792" s="65"/>
      <c r="B792" s="66"/>
      <c r="C792" s="67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</row>
    <row r="793" spans="1:18" ht="12.75" customHeight="1" x14ac:dyDescent="0.2">
      <c r="A793" s="65"/>
      <c r="B793" s="66"/>
      <c r="C793" s="67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</row>
    <row r="794" spans="1:18" ht="12.75" customHeight="1" x14ac:dyDescent="0.2">
      <c r="A794" s="65"/>
      <c r="B794" s="66"/>
      <c r="C794" s="67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</row>
    <row r="795" spans="1:18" ht="12.75" customHeight="1" x14ac:dyDescent="0.2">
      <c r="A795" s="65"/>
      <c r="B795" s="66"/>
      <c r="C795" s="67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</row>
    <row r="796" spans="1:18" ht="12.75" customHeight="1" x14ac:dyDescent="0.2">
      <c r="A796" s="65"/>
      <c r="B796" s="66"/>
      <c r="C796" s="67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</row>
    <row r="797" spans="1:18" ht="12.75" customHeight="1" x14ac:dyDescent="0.2">
      <c r="A797" s="65"/>
      <c r="B797" s="66"/>
      <c r="C797" s="67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</row>
    <row r="798" spans="1:18" ht="12.75" customHeight="1" x14ac:dyDescent="0.2">
      <c r="A798" s="65"/>
      <c r="B798" s="66"/>
      <c r="C798" s="67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</row>
    <row r="799" spans="1:18" ht="12.75" customHeight="1" x14ac:dyDescent="0.2">
      <c r="A799" s="65"/>
      <c r="B799" s="66"/>
      <c r="C799" s="67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</row>
    <row r="800" spans="1:18" ht="12.75" customHeight="1" x14ac:dyDescent="0.2">
      <c r="A800" s="65"/>
      <c r="B800" s="66"/>
      <c r="C800" s="67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</row>
    <row r="801" spans="1:18" ht="12.75" customHeight="1" x14ac:dyDescent="0.2">
      <c r="A801" s="65"/>
      <c r="B801" s="66"/>
      <c r="C801" s="67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</row>
    <row r="802" spans="1:18" ht="12.75" customHeight="1" x14ac:dyDescent="0.2">
      <c r="A802" s="65"/>
      <c r="B802" s="66"/>
      <c r="C802" s="67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</row>
    <row r="803" spans="1:18" ht="12.75" customHeight="1" x14ac:dyDescent="0.2">
      <c r="A803" s="65"/>
      <c r="B803" s="66"/>
      <c r="C803" s="67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</row>
    <row r="804" spans="1:18" ht="12.75" customHeight="1" x14ac:dyDescent="0.2">
      <c r="A804" s="65"/>
      <c r="B804" s="66"/>
      <c r="C804" s="67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</row>
    <row r="805" spans="1:18" ht="12.75" customHeight="1" x14ac:dyDescent="0.2">
      <c r="A805" s="65"/>
      <c r="B805" s="66"/>
      <c r="C805" s="67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</row>
    <row r="806" spans="1:18" ht="12.75" customHeight="1" x14ac:dyDescent="0.2">
      <c r="A806" s="65"/>
      <c r="B806" s="66"/>
      <c r="C806" s="67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</row>
    <row r="807" spans="1:18" ht="12.75" customHeight="1" x14ac:dyDescent="0.2">
      <c r="A807" s="65"/>
      <c r="B807" s="66"/>
      <c r="C807" s="67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</row>
    <row r="808" spans="1:18" ht="12.75" customHeight="1" x14ac:dyDescent="0.2">
      <c r="A808" s="65"/>
      <c r="B808" s="66"/>
      <c r="C808" s="67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</row>
    <row r="809" spans="1:18" ht="12.75" customHeight="1" x14ac:dyDescent="0.2">
      <c r="A809" s="65"/>
      <c r="B809" s="66"/>
      <c r="C809" s="67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</row>
    <row r="810" spans="1:18" ht="12.75" customHeight="1" x14ac:dyDescent="0.2">
      <c r="A810" s="65"/>
      <c r="B810" s="66"/>
      <c r="C810" s="67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</row>
    <row r="811" spans="1:18" ht="12.75" customHeight="1" x14ac:dyDescent="0.2">
      <c r="A811" s="65"/>
      <c r="B811" s="66"/>
      <c r="C811" s="67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</row>
    <row r="812" spans="1:18" ht="12.75" customHeight="1" x14ac:dyDescent="0.2">
      <c r="A812" s="65"/>
      <c r="B812" s="66"/>
      <c r="C812" s="67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</row>
    <row r="813" spans="1:18" ht="12.75" customHeight="1" x14ac:dyDescent="0.2">
      <c r="A813" s="65"/>
      <c r="B813" s="66"/>
      <c r="C813" s="67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</row>
    <row r="814" spans="1:18" ht="12.75" customHeight="1" x14ac:dyDescent="0.2">
      <c r="A814" s="65"/>
      <c r="B814" s="66"/>
      <c r="C814" s="67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</row>
    <row r="815" spans="1:18" ht="12.75" customHeight="1" x14ac:dyDescent="0.2">
      <c r="A815" s="65"/>
      <c r="B815" s="66"/>
      <c r="C815" s="67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</row>
    <row r="816" spans="1:18" ht="12.75" customHeight="1" x14ac:dyDescent="0.2">
      <c r="A816" s="65"/>
      <c r="B816" s="66"/>
      <c r="C816" s="67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</row>
    <row r="817" spans="1:18" ht="12.75" customHeight="1" x14ac:dyDescent="0.2">
      <c r="A817" s="65"/>
      <c r="B817" s="66"/>
      <c r="C817" s="67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</row>
    <row r="818" spans="1:18" ht="12.75" customHeight="1" x14ac:dyDescent="0.2">
      <c r="A818" s="65"/>
      <c r="B818" s="66"/>
      <c r="C818" s="67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</row>
    <row r="819" spans="1:18" ht="12.75" customHeight="1" x14ac:dyDescent="0.2">
      <c r="A819" s="65"/>
      <c r="B819" s="66"/>
      <c r="C819" s="67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</row>
    <row r="820" spans="1:18" ht="12.75" customHeight="1" x14ac:dyDescent="0.2">
      <c r="A820" s="65"/>
      <c r="B820" s="66"/>
      <c r="C820" s="67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</row>
    <row r="821" spans="1:18" ht="12.75" customHeight="1" x14ac:dyDescent="0.2">
      <c r="A821" s="65"/>
      <c r="B821" s="66"/>
      <c r="C821" s="67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</row>
    <row r="822" spans="1:18" ht="12.75" customHeight="1" x14ac:dyDescent="0.2">
      <c r="A822" s="65"/>
      <c r="B822" s="66"/>
      <c r="C822" s="67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</row>
    <row r="823" spans="1:18" ht="12.75" customHeight="1" x14ac:dyDescent="0.2">
      <c r="A823" s="65"/>
      <c r="B823" s="66"/>
      <c r="C823" s="67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</row>
    <row r="824" spans="1:18" ht="12.75" customHeight="1" x14ac:dyDescent="0.2">
      <c r="A824" s="65"/>
      <c r="B824" s="66"/>
      <c r="C824" s="67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</row>
    <row r="825" spans="1:18" ht="12.75" customHeight="1" x14ac:dyDescent="0.2">
      <c r="A825" s="65"/>
      <c r="B825" s="66"/>
      <c r="C825" s="67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</row>
    <row r="826" spans="1:18" ht="12.75" customHeight="1" x14ac:dyDescent="0.2">
      <c r="A826" s="65"/>
      <c r="B826" s="66"/>
      <c r="C826" s="67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</row>
    <row r="827" spans="1:18" ht="12.75" customHeight="1" x14ac:dyDescent="0.2">
      <c r="A827" s="65"/>
      <c r="B827" s="66"/>
      <c r="C827" s="67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</row>
    <row r="828" spans="1:18" ht="12.75" customHeight="1" x14ac:dyDescent="0.2">
      <c r="A828" s="65"/>
      <c r="B828" s="66"/>
      <c r="C828" s="67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</row>
    <row r="829" spans="1:18" ht="12.75" customHeight="1" x14ac:dyDescent="0.2">
      <c r="A829" s="65"/>
      <c r="B829" s="66"/>
      <c r="C829" s="67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</row>
    <row r="830" spans="1:18" ht="12.75" customHeight="1" x14ac:dyDescent="0.2">
      <c r="A830" s="65"/>
      <c r="B830" s="66"/>
      <c r="C830" s="67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</row>
    <row r="831" spans="1:18" ht="12.75" customHeight="1" x14ac:dyDescent="0.2">
      <c r="A831" s="65"/>
      <c r="B831" s="66"/>
      <c r="C831" s="67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</row>
    <row r="832" spans="1:18" ht="12.75" customHeight="1" x14ac:dyDescent="0.2">
      <c r="A832" s="65"/>
      <c r="B832" s="66"/>
      <c r="C832" s="67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</row>
    <row r="833" spans="1:18" ht="12.75" customHeight="1" x14ac:dyDescent="0.2">
      <c r="A833" s="65"/>
      <c r="B833" s="66"/>
      <c r="C833" s="67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</row>
    <row r="834" spans="1:18" ht="12.75" customHeight="1" x14ac:dyDescent="0.2">
      <c r="A834" s="65"/>
      <c r="B834" s="66"/>
      <c r="C834" s="67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</row>
    <row r="835" spans="1:18" ht="12.75" customHeight="1" x14ac:dyDescent="0.2">
      <c r="A835" s="65"/>
      <c r="B835" s="66"/>
      <c r="C835" s="67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</row>
    <row r="836" spans="1:18" ht="12.75" customHeight="1" x14ac:dyDescent="0.2">
      <c r="A836" s="65"/>
      <c r="B836" s="66"/>
      <c r="C836" s="67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</row>
    <row r="837" spans="1:18" ht="12.75" customHeight="1" x14ac:dyDescent="0.2">
      <c r="A837" s="65"/>
      <c r="B837" s="66"/>
      <c r="C837" s="67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</row>
    <row r="838" spans="1:18" ht="12.75" customHeight="1" x14ac:dyDescent="0.2">
      <c r="A838" s="65"/>
      <c r="B838" s="66"/>
      <c r="C838" s="67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</row>
    <row r="839" spans="1:18" ht="12.75" customHeight="1" x14ac:dyDescent="0.2">
      <c r="A839" s="65"/>
      <c r="B839" s="66"/>
      <c r="C839" s="67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</row>
    <row r="840" spans="1:18" ht="12.75" customHeight="1" x14ac:dyDescent="0.2">
      <c r="A840" s="65"/>
      <c r="B840" s="66"/>
      <c r="C840" s="67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</row>
    <row r="841" spans="1:18" ht="12.75" customHeight="1" x14ac:dyDescent="0.2">
      <c r="A841" s="65"/>
      <c r="B841" s="66"/>
      <c r="C841" s="67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</row>
    <row r="842" spans="1:18" ht="12.75" customHeight="1" x14ac:dyDescent="0.2">
      <c r="A842" s="65"/>
      <c r="B842" s="66"/>
      <c r="C842" s="67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</row>
    <row r="843" spans="1:18" ht="12.75" customHeight="1" x14ac:dyDescent="0.2">
      <c r="A843" s="65"/>
      <c r="B843" s="66"/>
      <c r="C843" s="67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</row>
    <row r="844" spans="1:18" ht="12.75" customHeight="1" x14ac:dyDescent="0.2">
      <c r="A844" s="65"/>
      <c r="B844" s="66"/>
      <c r="C844" s="67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</row>
    <row r="845" spans="1:18" ht="12.75" customHeight="1" x14ac:dyDescent="0.2">
      <c r="A845" s="65"/>
      <c r="B845" s="66"/>
      <c r="C845" s="67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</row>
    <row r="846" spans="1:18" ht="12.75" customHeight="1" x14ac:dyDescent="0.2">
      <c r="A846" s="65"/>
      <c r="B846" s="66"/>
      <c r="C846" s="67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</row>
    <row r="847" spans="1:18" ht="12.75" customHeight="1" x14ac:dyDescent="0.2">
      <c r="A847" s="65"/>
      <c r="B847" s="66"/>
      <c r="C847" s="67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</row>
    <row r="848" spans="1:18" ht="12.75" customHeight="1" x14ac:dyDescent="0.2">
      <c r="A848" s="65"/>
      <c r="B848" s="66"/>
      <c r="C848" s="67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</row>
    <row r="849" spans="1:18" ht="12.75" customHeight="1" x14ac:dyDescent="0.2">
      <c r="A849" s="65"/>
      <c r="B849" s="66"/>
      <c r="C849" s="67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</row>
    <row r="850" spans="1:18" ht="12.75" customHeight="1" x14ac:dyDescent="0.2">
      <c r="A850" s="65"/>
      <c r="B850" s="66"/>
      <c r="C850" s="67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</row>
    <row r="851" spans="1:18" ht="12.75" customHeight="1" x14ac:dyDescent="0.2">
      <c r="A851" s="65"/>
      <c r="B851" s="66"/>
      <c r="C851" s="67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</row>
    <row r="852" spans="1:18" ht="12.75" customHeight="1" x14ac:dyDescent="0.2">
      <c r="A852" s="65"/>
      <c r="B852" s="66"/>
      <c r="C852" s="67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</row>
    <row r="853" spans="1:18" ht="12.75" customHeight="1" x14ac:dyDescent="0.2">
      <c r="A853" s="65"/>
      <c r="B853" s="66"/>
      <c r="C853" s="67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</row>
    <row r="854" spans="1:18" ht="12.75" customHeight="1" x14ac:dyDescent="0.2">
      <c r="A854" s="65"/>
      <c r="B854" s="66"/>
      <c r="C854" s="67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</row>
    <row r="855" spans="1:18" ht="12.75" customHeight="1" x14ac:dyDescent="0.2">
      <c r="A855" s="65"/>
      <c r="B855" s="66"/>
      <c r="C855" s="67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</row>
    <row r="856" spans="1:18" ht="12.75" customHeight="1" x14ac:dyDescent="0.2">
      <c r="A856" s="65"/>
      <c r="B856" s="66"/>
      <c r="C856" s="67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</row>
    <row r="857" spans="1:18" ht="12.75" customHeight="1" x14ac:dyDescent="0.2">
      <c r="A857" s="65"/>
      <c r="B857" s="66"/>
      <c r="C857" s="67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</row>
    <row r="858" spans="1:18" ht="12.75" customHeight="1" x14ac:dyDescent="0.2">
      <c r="A858" s="65"/>
      <c r="B858" s="66"/>
      <c r="C858" s="67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</row>
    <row r="859" spans="1:18" ht="12.75" customHeight="1" x14ac:dyDescent="0.2">
      <c r="A859" s="65"/>
      <c r="B859" s="66"/>
      <c r="C859" s="67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</row>
    <row r="860" spans="1:18" ht="12.75" customHeight="1" x14ac:dyDescent="0.2">
      <c r="A860" s="65"/>
      <c r="B860" s="66"/>
      <c r="C860" s="67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</row>
    <row r="861" spans="1:18" ht="12.75" customHeight="1" x14ac:dyDescent="0.2">
      <c r="A861" s="65"/>
      <c r="B861" s="66"/>
      <c r="C861" s="67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</row>
    <row r="862" spans="1:18" ht="12.75" customHeight="1" x14ac:dyDescent="0.2">
      <c r="A862" s="65"/>
      <c r="B862" s="66"/>
      <c r="C862" s="67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</row>
    <row r="863" spans="1:18" ht="12.75" customHeight="1" x14ac:dyDescent="0.2">
      <c r="A863" s="65"/>
      <c r="B863" s="66"/>
      <c r="C863" s="67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</row>
    <row r="864" spans="1:18" ht="12.75" customHeight="1" x14ac:dyDescent="0.2">
      <c r="A864" s="65"/>
      <c r="B864" s="66"/>
      <c r="C864" s="67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</row>
    <row r="865" spans="1:18" ht="12.75" customHeight="1" x14ac:dyDescent="0.2">
      <c r="A865" s="65"/>
      <c r="B865" s="66"/>
      <c r="C865" s="67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</row>
    <row r="866" spans="1:18" ht="12.75" customHeight="1" x14ac:dyDescent="0.2">
      <c r="A866" s="65"/>
      <c r="B866" s="66"/>
      <c r="C866" s="67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</row>
    <row r="867" spans="1:18" ht="12.75" customHeight="1" x14ac:dyDescent="0.2">
      <c r="A867" s="65"/>
      <c r="B867" s="66"/>
      <c r="C867" s="67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</row>
    <row r="868" spans="1:18" ht="12.75" customHeight="1" x14ac:dyDescent="0.2">
      <c r="A868" s="65"/>
      <c r="B868" s="66"/>
      <c r="C868" s="67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</row>
    <row r="869" spans="1:18" ht="12.75" customHeight="1" x14ac:dyDescent="0.2">
      <c r="A869" s="65"/>
      <c r="B869" s="66"/>
      <c r="C869" s="67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</row>
    <row r="870" spans="1:18" ht="12.75" customHeight="1" x14ac:dyDescent="0.2">
      <c r="A870" s="65"/>
      <c r="B870" s="66"/>
      <c r="C870" s="67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</row>
    <row r="871" spans="1:18" ht="12.75" customHeight="1" x14ac:dyDescent="0.2">
      <c r="A871" s="65"/>
      <c r="B871" s="66"/>
      <c r="C871" s="67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</row>
    <row r="872" spans="1:18" ht="12.75" customHeight="1" x14ac:dyDescent="0.2">
      <c r="A872" s="65"/>
      <c r="B872" s="66"/>
      <c r="C872" s="67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</row>
    <row r="873" spans="1:18" ht="12.75" customHeight="1" x14ac:dyDescent="0.2">
      <c r="A873" s="65"/>
      <c r="B873" s="66"/>
      <c r="C873" s="67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</row>
    <row r="874" spans="1:18" ht="12.75" customHeight="1" x14ac:dyDescent="0.2">
      <c r="A874" s="65"/>
      <c r="B874" s="66"/>
      <c r="C874" s="67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</row>
    <row r="875" spans="1:18" ht="12.75" customHeight="1" x14ac:dyDescent="0.2">
      <c r="A875" s="65"/>
      <c r="B875" s="66"/>
      <c r="C875" s="67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</row>
    <row r="876" spans="1:18" ht="12.75" customHeight="1" x14ac:dyDescent="0.2">
      <c r="A876" s="65"/>
      <c r="B876" s="66"/>
      <c r="C876" s="67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</row>
    <row r="877" spans="1:18" ht="12.75" customHeight="1" x14ac:dyDescent="0.2">
      <c r="A877" s="65"/>
      <c r="B877" s="66"/>
      <c r="C877" s="67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</row>
    <row r="878" spans="1:18" ht="12.75" customHeight="1" x14ac:dyDescent="0.2">
      <c r="A878" s="65"/>
      <c r="B878" s="66"/>
      <c r="C878" s="67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</row>
    <row r="879" spans="1:18" ht="12.75" customHeight="1" x14ac:dyDescent="0.2">
      <c r="A879" s="65"/>
      <c r="B879" s="66"/>
      <c r="C879" s="67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</row>
    <row r="880" spans="1:18" ht="12.75" customHeight="1" x14ac:dyDescent="0.2">
      <c r="A880" s="65"/>
      <c r="B880" s="66"/>
      <c r="C880" s="67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</row>
    <row r="881" spans="1:18" ht="12.75" customHeight="1" x14ac:dyDescent="0.2">
      <c r="A881" s="65"/>
      <c r="B881" s="66"/>
      <c r="C881" s="67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</row>
    <row r="882" spans="1:18" ht="12.75" customHeight="1" x14ac:dyDescent="0.2">
      <c r="A882" s="65"/>
      <c r="B882" s="66"/>
      <c r="C882" s="67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</row>
    <row r="883" spans="1:18" ht="12.75" customHeight="1" x14ac:dyDescent="0.2">
      <c r="A883" s="65"/>
      <c r="B883" s="66"/>
      <c r="C883" s="67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</row>
    <row r="884" spans="1:18" ht="12.75" customHeight="1" x14ac:dyDescent="0.2">
      <c r="A884" s="65"/>
      <c r="B884" s="66"/>
      <c r="C884" s="67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</row>
    <row r="885" spans="1:18" ht="12.75" customHeight="1" x14ac:dyDescent="0.2">
      <c r="A885" s="65"/>
      <c r="B885" s="66"/>
      <c r="C885" s="67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</row>
    <row r="886" spans="1:18" ht="12.75" customHeight="1" x14ac:dyDescent="0.2">
      <c r="A886" s="65"/>
      <c r="B886" s="66"/>
      <c r="C886" s="67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</row>
    <row r="887" spans="1:18" ht="12.75" customHeight="1" x14ac:dyDescent="0.2">
      <c r="A887" s="65"/>
      <c r="B887" s="66"/>
      <c r="C887" s="67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</row>
    <row r="888" spans="1:18" ht="12.75" customHeight="1" x14ac:dyDescent="0.2">
      <c r="A888" s="65"/>
      <c r="B888" s="66"/>
      <c r="C888" s="67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</row>
    <row r="889" spans="1:18" ht="12.75" customHeight="1" x14ac:dyDescent="0.2">
      <c r="A889" s="65"/>
      <c r="B889" s="66"/>
      <c r="C889" s="67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</row>
    <row r="890" spans="1:18" ht="12.75" customHeight="1" x14ac:dyDescent="0.2">
      <c r="A890" s="65"/>
      <c r="B890" s="66"/>
      <c r="C890" s="67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</row>
    <row r="891" spans="1:18" ht="12.75" customHeight="1" x14ac:dyDescent="0.2">
      <c r="A891" s="65"/>
      <c r="B891" s="66"/>
      <c r="C891" s="67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</row>
    <row r="892" spans="1:18" ht="12.75" customHeight="1" x14ac:dyDescent="0.2">
      <c r="A892" s="65"/>
      <c r="B892" s="66"/>
      <c r="C892" s="67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</row>
    <row r="893" spans="1:18" ht="12.75" customHeight="1" x14ac:dyDescent="0.2">
      <c r="A893" s="65"/>
      <c r="B893" s="66"/>
      <c r="C893" s="67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</row>
    <row r="894" spans="1:18" ht="12.75" customHeight="1" x14ac:dyDescent="0.2">
      <c r="A894" s="65"/>
      <c r="B894" s="66"/>
      <c r="C894" s="67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</row>
    <row r="895" spans="1:18" ht="12.75" customHeight="1" x14ac:dyDescent="0.2">
      <c r="A895" s="65"/>
      <c r="B895" s="66"/>
      <c r="C895" s="67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</row>
    <row r="896" spans="1:18" ht="12.75" customHeight="1" x14ac:dyDescent="0.2">
      <c r="A896" s="65"/>
      <c r="B896" s="66"/>
      <c r="C896" s="67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</row>
    <row r="897" spans="1:18" ht="12.75" customHeight="1" x14ac:dyDescent="0.2">
      <c r="A897" s="65"/>
      <c r="B897" s="66"/>
      <c r="C897" s="67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</row>
    <row r="898" spans="1:18" ht="12.75" customHeight="1" x14ac:dyDescent="0.2">
      <c r="A898" s="65"/>
      <c r="B898" s="66"/>
      <c r="C898" s="67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</row>
    <row r="899" spans="1:18" ht="12.75" customHeight="1" x14ac:dyDescent="0.2">
      <c r="A899" s="65"/>
      <c r="B899" s="66"/>
      <c r="C899" s="67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</row>
    <row r="900" spans="1:18" ht="12.75" customHeight="1" x14ac:dyDescent="0.2">
      <c r="A900" s="65"/>
      <c r="B900" s="66"/>
      <c r="C900" s="67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</row>
    <row r="901" spans="1:18" ht="12.75" customHeight="1" x14ac:dyDescent="0.2">
      <c r="A901" s="65"/>
      <c r="B901" s="66"/>
      <c r="C901" s="67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</row>
    <row r="902" spans="1:18" ht="12.75" customHeight="1" x14ac:dyDescent="0.2">
      <c r="A902" s="65"/>
      <c r="B902" s="66"/>
      <c r="C902" s="67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</row>
    <row r="903" spans="1:18" ht="12.75" customHeight="1" x14ac:dyDescent="0.2">
      <c r="A903" s="65"/>
      <c r="B903" s="66"/>
      <c r="C903" s="67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</row>
    <row r="904" spans="1:18" ht="12.75" customHeight="1" x14ac:dyDescent="0.2">
      <c r="A904" s="65"/>
      <c r="B904" s="66"/>
      <c r="C904" s="67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</row>
    <row r="905" spans="1:18" ht="12.75" customHeight="1" x14ac:dyDescent="0.2">
      <c r="A905" s="65"/>
      <c r="B905" s="66"/>
      <c r="C905" s="67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</row>
    <row r="906" spans="1:18" ht="12.75" customHeight="1" x14ac:dyDescent="0.2">
      <c r="A906" s="65"/>
      <c r="B906" s="66"/>
      <c r="C906" s="67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</row>
    <row r="907" spans="1:18" ht="12.75" customHeight="1" x14ac:dyDescent="0.2">
      <c r="A907" s="65"/>
      <c r="B907" s="66"/>
      <c r="C907" s="67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</row>
    <row r="908" spans="1:18" ht="12.75" customHeight="1" x14ac:dyDescent="0.2">
      <c r="A908" s="65"/>
      <c r="B908" s="66"/>
      <c r="C908" s="67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</row>
    <row r="909" spans="1:18" ht="12.75" customHeight="1" x14ac:dyDescent="0.2">
      <c r="A909" s="65"/>
      <c r="B909" s="66"/>
      <c r="C909" s="67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</row>
    <row r="910" spans="1:18" ht="12.75" customHeight="1" x14ac:dyDescent="0.2">
      <c r="A910" s="65"/>
      <c r="B910" s="66"/>
      <c r="C910" s="67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</row>
    <row r="911" spans="1:18" ht="12.75" customHeight="1" x14ac:dyDescent="0.2">
      <c r="A911" s="65"/>
      <c r="B911" s="66"/>
      <c r="C911" s="67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</row>
    <row r="912" spans="1:18" ht="12.75" customHeight="1" x14ac:dyDescent="0.2">
      <c r="A912" s="65"/>
      <c r="B912" s="66"/>
      <c r="C912" s="67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</row>
    <row r="913" spans="1:18" ht="12.75" customHeight="1" x14ac:dyDescent="0.2">
      <c r="A913" s="65"/>
      <c r="B913" s="66"/>
      <c r="C913" s="67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</row>
    <row r="914" spans="1:18" ht="12.75" customHeight="1" x14ac:dyDescent="0.2">
      <c r="A914" s="65"/>
      <c r="B914" s="66"/>
      <c r="C914" s="67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</row>
    <row r="915" spans="1:18" ht="12.75" customHeight="1" x14ac:dyDescent="0.2">
      <c r="A915" s="65"/>
      <c r="B915" s="66"/>
      <c r="C915" s="67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</row>
    <row r="916" spans="1:18" ht="12.75" customHeight="1" x14ac:dyDescent="0.2">
      <c r="A916" s="65"/>
      <c r="B916" s="66"/>
      <c r="C916" s="67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</row>
    <row r="917" spans="1:18" ht="12.75" customHeight="1" x14ac:dyDescent="0.2">
      <c r="A917" s="65"/>
      <c r="B917" s="66"/>
      <c r="C917" s="67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</row>
    <row r="918" spans="1:18" ht="12.75" customHeight="1" x14ac:dyDescent="0.2">
      <c r="A918" s="65"/>
      <c r="B918" s="66"/>
      <c r="C918" s="67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</row>
    <row r="919" spans="1:18" ht="12.75" customHeight="1" x14ac:dyDescent="0.2">
      <c r="A919" s="65"/>
      <c r="B919" s="66"/>
      <c r="C919" s="67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</row>
    <row r="920" spans="1:18" ht="12.75" customHeight="1" x14ac:dyDescent="0.2">
      <c r="A920" s="65"/>
      <c r="B920" s="66"/>
      <c r="C920" s="67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</row>
    <row r="921" spans="1:18" ht="12.75" customHeight="1" x14ac:dyDescent="0.2">
      <c r="A921" s="65"/>
      <c r="B921" s="66"/>
      <c r="C921" s="67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</row>
    <row r="922" spans="1:18" ht="12.75" customHeight="1" x14ac:dyDescent="0.2">
      <c r="A922" s="65"/>
      <c r="B922" s="66"/>
      <c r="C922" s="67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</row>
    <row r="923" spans="1:18" ht="12.75" customHeight="1" x14ac:dyDescent="0.2">
      <c r="A923" s="65"/>
      <c r="B923" s="66"/>
      <c r="C923" s="67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</row>
    <row r="924" spans="1:18" ht="12.75" customHeight="1" x14ac:dyDescent="0.2">
      <c r="A924" s="65"/>
      <c r="B924" s="66"/>
      <c r="C924" s="67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</row>
    <row r="925" spans="1:18" ht="12.75" customHeight="1" x14ac:dyDescent="0.2">
      <c r="A925" s="65"/>
      <c r="B925" s="66"/>
      <c r="C925" s="67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</row>
    <row r="926" spans="1:18" ht="12.75" customHeight="1" x14ac:dyDescent="0.2">
      <c r="A926" s="65"/>
      <c r="B926" s="66"/>
      <c r="C926" s="67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</row>
    <row r="927" spans="1:18" ht="12.75" customHeight="1" x14ac:dyDescent="0.2">
      <c r="A927" s="65"/>
      <c r="B927" s="66"/>
      <c r="C927" s="67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</row>
    <row r="928" spans="1:18" ht="12.75" customHeight="1" x14ac:dyDescent="0.2">
      <c r="A928" s="65"/>
      <c r="B928" s="66"/>
      <c r="C928" s="67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</row>
    <row r="929" spans="1:18" ht="12.75" customHeight="1" x14ac:dyDescent="0.2">
      <c r="A929" s="65"/>
      <c r="B929" s="66"/>
      <c r="C929" s="67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</row>
    <row r="930" spans="1:18" ht="12.75" customHeight="1" x14ac:dyDescent="0.2">
      <c r="A930" s="65"/>
      <c r="B930" s="66"/>
      <c r="C930" s="67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</row>
    <row r="931" spans="1:18" ht="12.75" customHeight="1" x14ac:dyDescent="0.2">
      <c r="A931" s="65"/>
      <c r="B931" s="66"/>
      <c r="C931" s="67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</row>
    <row r="932" spans="1:18" ht="12.75" customHeight="1" x14ac:dyDescent="0.2">
      <c r="A932" s="65"/>
      <c r="B932" s="66"/>
      <c r="C932" s="67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</row>
    <row r="933" spans="1:18" ht="12.75" customHeight="1" x14ac:dyDescent="0.2">
      <c r="A933" s="65"/>
      <c r="B933" s="66"/>
      <c r="C933" s="67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</row>
    <row r="934" spans="1:18" ht="12.75" customHeight="1" x14ac:dyDescent="0.2">
      <c r="A934" s="65"/>
      <c r="B934" s="66"/>
      <c r="C934" s="67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</row>
    <row r="935" spans="1:18" ht="12.75" customHeight="1" x14ac:dyDescent="0.2">
      <c r="A935" s="65"/>
      <c r="B935" s="66"/>
      <c r="C935" s="67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</row>
    <row r="936" spans="1:18" ht="12.75" customHeight="1" x14ac:dyDescent="0.2">
      <c r="A936" s="65"/>
      <c r="B936" s="66"/>
      <c r="C936" s="67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</row>
    <row r="937" spans="1:18" ht="12.75" customHeight="1" x14ac:dyDescent="0.2">
      <c r="A937" s="65"/>
      <c r="B937" s="66"/>
      <c r="C937" s="67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</row>
    <row r="938" spans="1:18" ht="12.75" customHeight="1" x14ac:dyDescent="0.2">
      <c r="A938" s="65"/>
      <c r="B938" s="66"/>
      <c r="C938" s="67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</row>
    <row r="939" spans="1:18" ht="12.75" customHeight="1" x14ac:dyDescent="0.2">
      <c r="A939" s="65"/>
      <c r="B939" s="66"/>
      <c r="C939" s="67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</row>
    <row r="940" spans="1:18" ht="12.75" customHeight="1" x14ac:dyDescent="0.2">
      <c r="A940" s="65"/>
      <c r="B940" s="66"/>
      <c r="C940" s="67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</row>
    <row r="941" spans="1:18" ht="12.75" customHeight="1" x14ac:dyDescent="0.2">
      <c r="A941" s="65"/>
      <c r="B941" s="66"/>
      <c r="C941" s="67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</row>
    <row r="942" spans="1:18" ht="12.75" customHeight="1" x14ac:dyDescent="0.2">
      <c r="A942" s="65"/>
      <c r="B942" s="66"/>
      <c r="C942" s="67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</row>
    <row r="943" spans="1:18" ht="12.75" customHeight="1" x14ac:dyDescent="0.2">
      <c r="A943" s="65"/>
      <c r="B943" s="66"/>
      <c r="C943" s="67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</row>
    <row r="944" spans="1:18" ht="12.75" customHeight="1" x14ac:dyDescent="0.2">
      <c r="A944" s="65"/>
      <c r="B944" s="66"/>
      <c r="C944" s="67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</row>
    <row r="945" spans="1:18" ht="12.75" customHeight="1" x14ac:dyDescent="0.2">
      <c r="A945" s="65"/>
      <c r="B945" s="66"/>
      <c r="C945" s="67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</row>
    <row r="946" spans="1:18" ht="12.75" customHeight="1" x14ac:dyDescent="0.2">
      <c r="A946" s="65"/>
      <c r="B946" s="66"/>
      <c r="C946" s="67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</row>
    <row r="947" spans="1:18" ht="12.75" customHeight="1" x14ac:dyDescent="0.2">
      <c r="A947" s="65"/>
      <c r="B947" s="66"/>
      <c r="C947" s="67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</row>
    <row r="948" spans="1:18" ht="12.75" customHeight="1" x14ac:dyDescent="0.2">
      <c r="A948" s="65"/>
      <c r="B948" s="66"/>
      <c r="C948" s="67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</row>
    <row r="949" spans="1:18" ht="12.75" customHeight="1" x14ac:dyDescent="0.2">
      <c r="A949" s="65"/>
      <c r="B949" s="66"/>
      <c r="C949" s="67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</row>
    <row r="950" spans="1:18" ht="12.75" customHeight="1" x14ac:dyDescent="0.2">
      <c r="A950" s="65"/>
      <c r="B950" s="66"/>
      <c r="C950" s="67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</row>
    <row r="951" spans="1:18" ht="12.75" customHeight="1" x14ac:dyDescent="0.2">
      <c r="A951" s="65"/>
      <c r="B951" s="66"/>
      <c r="C951" s="67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</row>
    <row r="952" spans="1:18" ht="12.75" customHeight="1" x14ac:dyDescent="0.2">
      <c r="A952" s="65"/>
      <c r="B952" s="66"/>
      <c r="C952" s="67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</row>
    <row r="953" spans="1:18" ht="12.75" customHeight="1" x14ac:dyDescent="0.2">
      <c r="A953" s="65"/>
      <c r="B953" s="66"/>
      <c r="C953" s="67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</row>
    <row r="954" spans="1:18" ht="12.75" customHeight="1" x14ac:dyDescent="0.2">
      <c r="A954" s="65"/>
      <c r="B954" s="66"/>
      <c r="C954" s="67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</row>
    <row r="955" spans="1:18" ht="12.75" customHeight="1" x14ac:dyDescent="0.2">
      <c r="A955" s="65"/>
      <c r="B955" s="66"/>
      <c r="C955" s="67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</row>
    <row r="956" spans="1:18" ht="12.75" customHeight="1" x14ac:dyDescent="0.2">
      <c r="A956" s="65"/>
      <c r="B956" s="66"/>
      <c r="C956" s="67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</row>
    <row r="957" spans="1:18" ht="12.75" customHeight="1" x14ac:dyDescent="0.2">
      <c r="A957" s="65"/>
      <c r="B957" s="66"/>
      <c r="C957" s="67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</row>
    <row r="958" spans="1:18" ht="12.75" customHeight="1" x14ac:dyDescent="0.2">
      <c r="A958" s="65"/>
      <c r="B958" s="66"/>
      <c r="C958" s="67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</row>
    <row r="959" spans="1:18" ht="12.75" customHeight="1" x14ac:dyDescent="0.2">
      <c r="A959" s="65"/>
      <c r="B959" s="66"/>
      <c r="C959" s="67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</row>
    <row r="960" spans="1:18" ht="12.75" customHeight="1" x14ac:dyDescent="0.2">
      <c r="A960" s="65"/>
      <c r="B960" s="66"/>
      <c r="C960" s="67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</row>
    <row r="961" spans="1:18" ht="12.75" customHeight="1" x14ac:dyDescent="0.2">
      <c r="A961" s="65"/>
      <c r="B961" s="66"/>
      <c r="C961" s="67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</row>
    <row r="962" spans="1:18" ht="12.75" customHeight="1" x14ac:dyDescent="0.2">
      <c r="A962" s="65"/>
      <c r="B962" s="66"/>
      <c r="C962" s="67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</row>
    <row r="963" spans="1:18" ht="12.75" customHeight="1" x14ac:dyDescent="0.2">
      <c r="A963" s="65"/>
      <c r="B963" s="66"/>
      <c r="C963" s="67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</row>
    <row r="964" spans="1:18" ht="12.75" customHeight="1" x14ac:dyDescent="0.2">
      <c r="A964" s="65"/>
      <c r="B964" s="66"/>
      <c r="C964" s="67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</row>
    <row r="965" spans="1:18" ht="12.75" customHeight="1" x14ac:dyDescent="0.2">
      <c r="A965" s="65"/>
      <c r="B965" s="66"/>
      <c r="C965" s="67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</row>
    <row r="966" spans="1:18" ht="12.75" customHeight="1" x14ac:dyDescent="0.2">
      <c r="A966" s="65"/>
      <c r="B966" s="66"/>
      <c r="C966" s="67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</row>
    <row r="967" spans="1:18" ht="12.75" customHeight="1" x14ac:dyDescent="0.2">
      <c r="A967" s="65"/>
      <c r="B967" s="66"/>
      <c r="C967" s="67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</row>
    <row r="968" spans="1:18" ht="12.75" customHeight="1" x14ac:dyDescent="0.2">
      <c r="A968" s="65"/>
      <c r="B968" s="66"/>
      <c r="C968" s="67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</row>
    <row r="969" spans="1:18" ht="12.75" customHeight="1" x14ac:dyDescent="0.2">
      <c r="A969" s="65"/>
      <c r="B969" s="66"/>
      <c r="C969" s="67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</row>
    <row r="970" spans="1:18" ht="12.75" customHeight="1" x14ac:dyDescent="0.2">
      <c r="A970" s="65"/>
      <c r="B970" s="66"/>
      <c r="C970" s="67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</row>
    <row r="971" spans="1:18" ht="12.75" customHeight="1" x14ac:dyDescent="0.2">
      <c r="A971" s="65"/>
      <c r="B971" s="66"/>
      <c r="C971" s="67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</row>
    <row r="972" spans="1:18" ht="12.75" customHeight="1" x14ac:dyDescent="0.2">
      <c r="A972" s="65"/>
      <c r="B972" s="66"/>
      <c r="C972" s="67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</row>
    <row r="973" spans="1:18" ht="12.75" customHeight="1" x14ac:dyDescent="0.2">
      <c r="A973" s="65"/>
      <c r="B973" s="66"/>
      <c r="C973" s="67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</row>
    <row r="974" spans="1:18" ht="12.75" customHeight="1" x14ac:dyDescent="0.2">
      <c r="A974" s="65"/>
      <c r="B974" s="66"/>
      <c r="C974" s="67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</row>
    <row r="975" spans="1:18" ht="12.75" customHeight="1" x14ac:dyDescent="0.2">
      <c r="A975" s="65"/>
      <c r="B975" s="66"/>
      <c r="C975" s="67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</row>
    <row r="976" spans="1:18" ht="12.75" customHeight="1" x14ac:dyDescent="0.2">
      <c r="A976" s="65"/>
      <c r="B976" s="66"/>
      <c r="C976" s="67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</row>
    <row r="977" spans="1:18" ht="12.75" customHeight="1" x14ac:dyDescent="0.2">
      <c r="A977" s="65"/>
      <c r="B977" s="66"/>
      <c r="C977" s="67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</row>
    <row r="978" spans="1:18" ht="12.75" customHeight="1" x14ac:dyDescent="0.2">
      <c r="A978" s="65"/>
      <c r="B978" s="66"/>
      <c r="C978" s="67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</row>
    <row r="979" spans="1:18" ht="12.75" customHeight="1" x14ac:dyDescent="0.2">
      <c r="A979" s="65"/>
      <c r="B979" s="66"/>
      <c r="C979" s="67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</row>
    <row r="980" spans="1:18" ht="12.75" customHeight="1" x14ac:dyDescent="0.2">
      <c r="A980" s="65"/>
      <c r="B980" s="66"/>
      <c r="C980" s="67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</row>
    <row r="981" spans="1:18" ht="12.75" customHeight="1" x14ac:dyDescent="0.2">
      <c r="A981" s="65"/>
      <c r="B981" s="66"/>
      <c r="C981" s="67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</row>
    <row r="982" spans="1:18" ht="12.75" customHeight="1" x14ac:dyDescent="0.2">
      <c r="A982" s="65"/>
      <c r="B982" s="66"/>
      <c r="C982" s="67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</row>
    <row r="983" spans="1:18" ht="12.75" customHeight="1" x14ac:dyDescent="0.2">
      <c r="A983" s="65"/>
      <c r="B983" s="66"/>
      <c r="C983" s="67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</row>
    <row r="984" spans="1:18" ht="12.75" customHeight="1" x14ac:dyDescent="0.2">
      <c r="A984" s="65"/>
      <c r="B984" s="66"/>
      <c r="C984" s="67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</row>
    <row r="985" spans="1:18" ht="12.75" customHeight="1" x14ac:dyDescent="0.2">
      <c r="A985" s="65"/>
      <c r="B985" s="66"/>
      <c r="C985" s="67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</row>
    <row r="986" spans="1:18" ht="12.75" customHeight="1" x14ac:dyDescent="0.2">
      <c r="A986" s="65"/>
      <c r="B986" s="66"/>
      <c r="C986" s="67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</row>
    <row r="987" spans="1:18" ht="12.75" customHeight="1" x14ac:dyDescent="0.2">
      <c r="A987" s="65"/>
      <c r="B987" s="66"/>
      <c r="C987" s="67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</row>
    <row r="988" spans="1:18" ht="12.75" customHeight="1" x14ac:dyDescent="0.2">
      <c r="A988" s="65"/>
      <c r="B988" s="66"/>
      <c r="C988" s="67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</row>
    <row r="989" spans="1:18" ht="12.75" customHeight="1" x14ac:dyDescent="0.2">
      <c r="A989" s="65"/>
      <c r="B989" s="66"/>
      <c r="C989" s="67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</row>
    <row r="990" spans="1:18" ht="12.75" customHeight="1" x14ac:dyDescent="0.2">
      <c r="A990" s="65"/>
      <c r="B990" s="66"/>
      <c r="C990" s="67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</row>
    <row r="991" spans="1:18" ht="12.75" customHeight="1" x14ac:dyDescent="0.2">
      <c r="A991" s="65"/>
      <c r="B991" s="66"/>
      <c r="C991" s="67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</row>
    <row r="992" spans="1:18" ht="12.75" customHeight="1" x14ac:dyDescent="0.2">
      <c r="A992" s="65"/>
      <c r="B992" s="66"/>
      <c r="C992" s="67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</row>
    <row r="993" spans="1:18" ht="12.75" customHeight="1" x14ac:dyDescent="0.2">
      <c r="A993" s="65"/>
      <c r="B993" s="66"/>
      <c r="C993" s="67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</row>
    <row r="994" spans="1:18" ht="12.75" customHeight="1" x14ac:dyDescent="0.2">
      <c r="A994" s="65"/>
      <c r="B994" s="66"/>
      <c r="C994" s="67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</row>
    <row r="995" spans="1:18" ht="12.75" customHeight="1" x14ac:dyDescent="0.2">
      <c r="A995" s="65"/>
      <c r="B995" s="66"/>
      <c r="C995" s="67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</row>
    <row r="996" spans="1:18" ht="12.75" customHeight="1" x14ac:dyDescent="0.2">
      <c r="A996" s="65"/>
      <c r="B996" s="66"/>
      <c r="C996" s="67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</row>
    <row r="997" spans="1:18" ht="12.75" customHeight="1" x14ac:dyDescent="0.2">
      <c r="A997" s="65"/>
      <c r="B997" s="66"/>
      <c r="C997" s="67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</row>
    <row r="998" spans="1:18" ht="12.75" customHeight="1" x14ac:dyDescent="0.2">
      <c r="A998" s="65"/>
      <c r="B998" s="66"/>
      <c r="C998" s="67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</row>
    <row r="999" spans="1:18" ht="12.75" customHeight="1" x14ac:dyDescent="0.2">
      <c r="A999" s="65"/>
      <c r="B999" s="66"/>
      <c r="C999" s="67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</row>
  </sheetData>
  <mergeCells count="5">
    <mergeCell ref="D2:E2"/>
    <mergeCell ref="F2:G2"/>
    <mergeCell ref="F1:G1"/>
    <mergeCell ref="H1:I1"/>
    <mergeCell ref="H2:I2"/>
  </mergeCells>
  <phoneticPr fontId="28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showGridLines="0" workbookViewId="0">
      <selection activeCell="G11" sqref="G11"/>
    </sheetView>
  </sheetViews>
  <sheetFormatPr baseColWidth="10" defaultColWidth="12.7109375" defaultRowHeight="15" customHeight="1" x14ac:dyDescent="0.2"/>
  <cols>
    <col min="1" max="1" width="11.42578125" customWidth="1"/>
    <col min="2" max="2" width="40.7109375" customWidth="1"/>
    <col min="3" max="3" width="41.28515625" customWidth="1"/>
    <col min="4" max="4" width="12.7109375" hidden="1" customWidth="1"/>
    <col min="5" max="5" width="14.5703125" hidden="1" customWidth="1"/>
    <col min="6" max="6" width="14.5703125" bestFit="1" customWidth="1"/>
    <col min="7" max="22" width="11.42578125" customWidth="1"/>
  </cols>
  <sheetData>
    <row r="1" spans="1:22" ht="12.75" x14ac:dyDescent="0.2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30.75" customHeight="1" x14ac:dyDescent="0.2">
      <c r="A2" s="75"/>
      <c r="B2" s="163" t="s">
        <v>529</v>
      </c>
      <c r="C2" s="15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ht="13.5" customHeight="1" x14ac:dyDescent="0.2">
      <c r="A3" s="75"/>
      <c r="B3" s="75"/>
      <c r="C3" s="75"/>
      <c r="D3" s="75"/>
      <c r="E3" s="123">
        <v>2.5000000000000001E-2</v>
      </c>
      <c r="F3" s="123">
        <v>2.4E-2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22" ht="13.5" customHeight="1" x14ac:dyDescent="0.2">
      <c r="A4" s="76"/>
      <c r="B4" s="77" t="s">
        <v>530</v>
      </c>
      <c r="C4" s="78" t="s">
        <v>531</v>
      </c>
      <c r="D4" s="79">
        <v>45992</v>
      </c>
      <c r="E4" s="79">
        <v>46023</v>
      </c>
      <c r="F4" s="79">
        <v>46054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 ht="38.25" x14ac:dyDescent="0.2">
      <c r="A5" s="76"/>
      <c r="B5" s="80" t="s">
        <v>532</v>
      </c>
      <c r="C5" s="81" t="s">
        <v>533</v>
      </c>
      <c r="D5" s="82">
        <v>23460</v>
      </c>
      <c r="E5" s="71">
        <f>IFERROR(D5*(1+$E$3),D5)</f>
        <v>24046.499999999996</v>
      </c>
      <c r="F5" s="71">
        <f>IFERROR(E5*(1+$F$3),E5)</f>
        <v>24623.615999999998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</row>
    <row r="6" spans="1:22" ht="38.25" x14ac:dyDescent="0.2">
      <c r="A6" s="76"/>
      <c r="B6" s="80" t="s">
        <v>534</v>
      </c>
      <c r="C6" s="81" t="s">
        <v>533</v>
      </c>
      <c r="D6" s="82">
        <v>23460</v>
      </c>
      <c r="E6" s="71">
        <f t="shared" ref="E6:E13" si="0">IFERROR(D6*(1+$E$3),D6)</f>
        <v>24046.499999999996</v>
      </c>
      <c r="F6" s="71">
        <f t="shared" ref="F6:F13" si="1">IFERROR(E6*(1+$F$3),E6)</f>
        <v>24623.615999999998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</row>
    <row r="7" spans="1:22" ht="38.25" x14ac:dyDescent="0.2">
      <c r="A7" s="76"/>
      <c r="B7" s="80" t="s">
        <v>535</v>
      </c>
      <c r="C7" s="81" t="s">
        <v>533</v>
      </c>
      <c r="D7" s="82">
        <v>23460</v>
      </c>
      <c r="E7" s="71">
        <f t="shared" si="0"/>
        <v>24046.499999999996</v>
      </c>
      <c r="F7" s="71">
        <f t="shared" si="1"/>
        <v>24623.615999999998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 spans="1:22" ht="38.25" x14ac:dyDescent="0.2">
      <c r="A8" s="76"/>
      <c r="B8" s="80" t="s">
        <v>536</v>
      </c>
      <c r="C8" s="81" t="s">
        <v>533</v>
      </c>
      <c r="D8" s="82">
        <v>23460</v>
      </c>
      <c r="E8" s="71">
        <f t="shared" si="0"/>
        <v>24046.499999999996</v>
      </c>
      <c r="F8" s="71">
        <f t="shared" si="1"/>
        <v>24623.615999999998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</row>
    <row r="9" spans="1:22" ht="12.75" x14ac:dyDescent="0.2">
      <c r="A9" s="76"/>
      <c r="B9" s="77" t="s">
        <v>537</v>
      </c>
      <c r="C9" s="83"/>
      <c r="D9" s="84"/>
      <c r="E9" s="84"/>
      <c r="F9" s="84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</row>
    <row r="10" spans="1:22" ht="13.5" customHeight="1" x14ac:dyDescent="0.2">
      <c r="A10" s="76"/>
      <c r="B10" s="85" t="s">
        <v>538</v>
      </c>
      <c r="C10" s="81" t="s">
        <v>539</v>
      </c>
      <c r="D10" s="86">
        <v>4350952.8</v>
      </c>
      <c r="E10" s="71">
        <f t="shared" si="0"/>
        <v>4459726.6199999992</v>
      </c>
      <c r="F10" s="71">
        <f t="shared" si="1"/>
        <v>4566760.0588799994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</row>
    <row r="11" spans="1:22" ht="102" x14ac:dyDescent="0.2">
      <c r="A11" s="76"/>
      <c r="B11" s="85" t="s">
        <v>540</v>
      </c>
      <c r="C11" s="81" t="s">
        <v>539</v>
      </c>
      <c r="D11" s="86">
        <v>4052358.0000000005</v>
      </c>
      <c r="E11" s="71">
        <f t="shared" si="0"/>
        <v>4153666.95</v>
      </c>
      <c r="F11" s="71">
        <f t="shared" si="1"/>
        <v>4253354.9568000007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</row>
    <row r="12" spans="1:22" ht="102" x14ac:dyDescent="0.2">
      <c r="A12" s="76"/>
      <c r="B12" s="85" t="s">
        <v>541</v>
      </c>
      <c r="C12" s="81" t="s">
        <v>539</v>
      </c>
      <c r="D12" s="86">
        <v>4692204</v>
      </c>
      <c r="E12" s="71">
        <f t="shared" si="0"/>
        <v>4809509.0999999996</v>
      </c>
      <c r="F12" s="71">
        <f t="shared" si="1"/>
        <v>4924937.3183999993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</row>
    <row r="13" spans="1:22" ht="25.5" x14ac:dyDescent="0.2">
      <c r="A13" s="76"/>
      <c r="B13" s="85" t="s">
        <v>542</v>
      </c>
      <c r="C13" s="81"/>
      <c r="D13" s="86">
        <v>268735.32</v>
      </c>
      <c r="E13" s="71">
        <f t="shared" si="0"/>
        <v>275453.70299999998</v>
      </c>
      <c r="F13" s="71">
        <f t="shared" si="1"/>
        <v>282064.59187199996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</row>
    <row r="14" spans="1:22" ht="13.5" customHeight="1" x14ac:dyDescent="0.2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2" ht="13.5" customHeight="1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2" ht="13.5" customHeight="1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ht="13.5" customHeight="1" x14ac:dyDescent="0.2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ht="13.5" customHeight="1" x14ac:dyDescent="0.2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ht="13.5" customHeight="1" x14ac:dyDescent="0.2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ht="13.5" customHeight="1" x14ac:dyDescent="0.2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ht="13.5" customHeight="1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ht="13.5" customHeight="1" x14ac:dyDescent="0.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 ht="13.5" customHeight="1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ht="13.5" customHeight="1" x14ac:dyDescent="0.2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ht="13.5" customHeight="1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ht="13.5" customHeight="1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ht="13.5" customHeight="1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ht="13.5" customHeight="1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 ht="13.5" customHeight="1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 ht="13.5" customHeight="1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 ht="13.5" customHeight="1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 ht="13.5" customHeight="1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 ht="13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 ht="13.5" customHeight="1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ht="13.5" customHeight="1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1:22" ht="13.5" customHeight="1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 ht="13.5" customHeight="1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 ht="13.5" customHeight="1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1:22" ht="13.5" customHeight="1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 ht="13.5" customHeight="1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 ht="13.5" customHeight="1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1:22" ht="13.5" customHeight="1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 ht="13.5" customHeight="1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1:22" ht="13.5" customHeight="1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spans="1:22" ht="13.5" customHeight="1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spans="1:22" ht="13.5" customHeight="1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spans="1:22" ht="13.5" customHeight="1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spans="1:22" ht="13.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spans="1:22" ht="13.5" customHeight="1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spans="1:22" ht="13.5" customHeight="1" x14ac:dyDescent="0.2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 ht="13.5" customHeight="1" x14ac:dyDescent="0.2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2" ht="13.5" customHeight="1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spans="1:22" ht="13.5" customHeight="1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spans="1:22" ht="13.5" customHeight="1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spans="1:22" ht="13.5" customHeight="1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spans="1:22" ht="13.5" customHeight="1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</row>
    <row r="57" spans="1:22" ht="13.5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spans="1:22" ht="13.5" customHeight="1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spans="1:22" ht="13.5" customHeight="1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spans="1:22" ht="13.5" customHeight="1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spans="1:22" ht="13.5" customHeight="1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spans="1:22" ht="13.5" customHeight="1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 ht="13.5" customHeight="1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 spans="1:22" ht="13.5" customHeight="1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</row>
    <row r="65" spans="1:22" ht="13.5" customHeight="1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 spans="1:22" ht="13.5" customHeight="1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</row>
    <row r="67" spans="1:22" ht="13.5" customHeight="1" x14ac:dyDescent="0.2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 spans="1:22" ht="13.5" customHeight="1" x14ac:dyDescent="0.2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</row>
    <row r="69" spans="1:22" ht="13.5" customHeight="1" x14ac:dyDescent="0.2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 spans="1:22" ht="13.5" customHeight="1" x14ac:dyDescent="0.2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</row>
    <row r="71" spans="1:22" ht="13.5" customHeight="1" x14ac:dyDescent="0.2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 spans="1:22" ht="13.5" customHeight="1" x14ac:dyDescent="0.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</row>
    <row r="73" spans="1:22" ht="13.5" customHeight="1" x14ac:dyDescent="0.2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 spans="1:22" ht="13.5" customHeight="1" x14ac:dyDescent="0.2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</row>
    <row r="75" spans="1:22" ht="13.5" customHeight="1" x14ac:dyDescent="0.2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 spans="1:22" ht="13.5" customHeight="1" x14ac:dyDescent="0.2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</row>
    <row r="77" spans="1:22" ht="13.5" customHeight="1" x14ac:dyDescent="0.2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spans="1:22" ht="13.5" customHeight="1" x14ac:dyDescent="0.2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spans="1:22" ht="13.5" customHeight="1" x14ac:dyDescent="0.2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spans="1:22" ht="13.5" customHeight="1" x14ac:dyDescent="0.2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2" ht="13.5" customHeight="1" x14ac:dyDescent="0.2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 spans="1:22" ht="13.5" customHeight="1" x14ac:dyDescent="0.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</row>
    <row r="83" spans="1:22" ht="13.5" customHeight="1" x14ac:dyDescent="0.2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 spans="1:22" ht="13.5" customHeight="1" x14ac:dyDescent="0.2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</row>
    <row r="85" spans="1:22" ht="13.5" customHeight="1" x14ac:dyDescent="0.2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 spans="1:22" ht="13.5" customHeight="1" x14ac:dyDescent="0.2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</row>
    <row r="87" spans="1:22" ht="13.5" customHeight="1" x14ac:dyDescent="0.2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 spans="1:22" ht="13.5" customHeight="1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spans="1:22" ht="13.5" customHeight="1" x14ac:dyDescent="0.2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 spans="1:22" ht="13.5" customHeight="1" x14ac:dyDescent="0.2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</row>
    <row r="91" spans="1:22" ht="13.5" customHeight="1" x14ac:dyDescent="0.2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 spans="1:22" ht="13.5" customHeight="1" x14ac:dyDescent="0.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</row>
    <row r="93" spans="1:22" ht="13.5" customHeight="1" x14ac:dyDescent="0.2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 spans="1:22" ht="13.5" customHeight="1" x14ac:dyDescent="0.2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</row>
    <row r="95" spans="1:22" ht="13.5" customHeight="1" x14ac:dyDescent="0.2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 spans="1:22" ht="13.5" customHeight="1" x14ac:dyDescent="0.2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</row>
    <row r="97" spans="1:22" ht="13.5" customHeight="1" x14ac:dyDescent="0.2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 spans="1:22" ht="13.5" customHeight="1" x14ac:dyDescent="0.2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</row>
    <row r="99" spans="1:22" ht="13.5" customHeight="1" x14ac:dyDescent="0.2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 spans="1:22" ht="13.5" customHeight="1" x14ac:dyDescent="0.2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</row>
    <row r="101" spans="1:22" ht="13.5" customHeight="1" x14ac:dyDescent="0.2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 spans="1:22" ht="13.5" customHeight="1" x14ac:dyDescent="0.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</row>
    <row r="103" spans="1:22" ht="13.5" customHeight="1" x14ac:dyDescent="0.2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 spans="1:22" ht="13.5" customHeight="1" x14ac:dyDescent="0.2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</row>
    <row r="105" spans="1:22" ht="13.5" customHeight="1" x14ac:dyDescent="0.2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 spans="1:22" ht="13.5" customHeight="1" x14ac:dyDescent="0.2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</row>
    <row r="107" spans="1:22" ht="13.5" customHeight="1" x14ac:dyDescent="0.2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 spans="1:22" ht="13.5" customHeight="1" x14ac:dyDescent="0.2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</row>
    <row r="109" spans="1:22" ht="13.5" customHeight="1" x14ac:dyDescent="0.2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 spans="1:22" ht="13.5" customHeight="1" x14ac:dyDescent="0.2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</row>
    <row r="111" spans="1:22" ht="13.5" customHeight="1" x14ac:dyDescent="0.2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 spans="1:22" ht="13.5" customHeight="1" x14ac:dyDescent="0.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</row>
    <row r="113" spans="1:22" ht="13.5" customHeight="1" x14ac:dyDescent="0.2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 spans="1:22" ht="13.5" customHeight="1" x14ac:dyDescent="0.2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</row>
    <row r="115" spans="1:22" ht="13.5" customHeight="1" x14ac:dyDescent="0.2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 spans="1:22" ht="13.5" customHeight="1" x14ac:dyDescent="0.2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</row>
    <row r="117" spans="1:22" ht="13.5" customHeight="1" x14ac:dyDescent="0.2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 spans="1:22" ht="13.5" customHeight="1" x14ac:dyDescent="0.2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</row>
    <row r="119" spans="1:22" ht="13.5" customHeight="1" x14ac:dyDescent="0.2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</row>
    <row r="120" spans="1:22" ht="13.5" customHeight="1" x14ac:dyDescent="0.2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</row>
    <row r="121" spans="1:22" ht="13.5" customHeight="1" x14ac:dyDescent="0.2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</row>
    <row r="122" spans="1:22" ht="13.5" customHeight="1" x14ac:dyDescent="0.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</row>
    <row r="123" spans="1:22" ht="13.5" customHeight="1" x14ac:dyDescent="0.2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</row>
    <row r="124" spans="1:22" ht="13.5" customHeight="1" x14ac:dyDescent="0.2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</row>
    <row r="125" spans="1:22" ht="13.5" customHeight="1" x14ac:dyDescent="0.2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</row>
    <row r="126" spans="1:22" ht="13.5" customHeight="1" x14ac:dyDescent="0.2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</row>
    <row r="127" spans="1:22" ht="13.5" customHeight="1" x14ac:dyDescent="0.2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</row>
    <row r="128" spans="1:22" ht="13.5" customHeight="1" x14ac:dyDescent="0.2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</row>
    <row r="129" spans="1:22" ht="13.5" customHeight="1" x14ac:dyDescent="0.2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</row>
    <row r="130" spans="1:22" ht="13.5" customHeight="1" x14ac:dyDescent="0.2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</row>
    <row r="131" spans="1:22" ht="13.5" customHeight="1" x14ac:dyDescent="0.2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 spans="1:22" ht="13.5" customHeight="1" x14ac:dyDescent="0.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</row>
    <row r="133" spans="1:22" ht="13.5" customHeight="1" x14ac:dyDescent="0.2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</row>
    <row r="134" spans="1:22" ht="13.5" customHeight="1" x14ac:dyDescent="0.2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</row>
    <row r="135" spans="1:22" ht="13.5" customHeight="1" x14ac:dyDescent="0.2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</row>
    <row r="136" spans="1:22" ht="13.5" customHeight="1" x14ac:dyDescent="0.2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</row>
    <row r="137" spans="1:22" ht="13.5" customHeight="1" x14ac:dyDescent="0.2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</row>
    <row r="138" spans="1:22" ht="13.5" customHeight="1" x14ac:dyDescent="0.2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</row>
    <row r="139" spans="1:22" ht="13.5" customHeight="1" x14ac:dyDescent="0.2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</row>
    <row r="140" spans="1:22" ht="13.5" customHeight="1" x14ac:dyDescent="0.2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</row>
    <row r="141" spans="1:22" ht="13.5" customHeight="1" x14ac:dyDescent="0.2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</row>
    <row r="142" spans="1:22" ht="13.5" customHeight="1" x14ac:dyDescent="0.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</row>
    <row r="143" spans="1:22" ht="13.5" customHeight="1" x14ac:dyDescent="0.2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</row>
    <row r="144" spans="1:22" ht="13.5" customHeight="1" x14ac:dyDescent="0.2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</row>
    <row r="145" spans="1:22" ht="13.5" customHeight="1" x14ac:dyDescent="0.2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</row>
    <row r="146" spans="1:22" ht="13.5" customHeight="1" x14ac:dyDescent="0.2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</row>
    <row r="147" spans="1:22" ht="13.5" customHeight="1" x14ac:dyDescent="0.2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</row>
    <row r="148" spans="1:22" ht="13.5" customHeight="1" x14ac:dyDescent="0.2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</row>
    <row r="149" spans="1:22" ht="13.5" customHeight="1" x14ac:dyDescent="0.2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</row>
    <row r="150" spans="1:22" ht="13.5" customHeight="1" x14ac:dyDescent="0.2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</row>
    <row r="151" spans="1:22" ht="13.5" customHeight="1" x14ac:dyDescent="0.2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</row>
    <row r="152" spans="1:22" ht="13.5" customHeight="1" x14ac:dyDescent="0.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</row>
    <row r="153" spans="1:22" ht="13.5" customHeight="1" x14ac:dyDescent="0.2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</row>
    <row r="154" spans="1:22" ht="13.5" customHeight="1" x14ac:dyDescent="0.2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</row>
    <row r="155" spans="1:22" ht="13.5" customHeight="1" x14ac:dyDescent="0.2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</row>
    <row r="156" spans="1:22" ht="13.5" customHeight="1" x14ac:dyDescent="0.2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</row>
    <row r="157" spans="1:22" ht="13.5" customHeight="1" x14ac:dyDescent="0.2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</row>
    <row r="158" spans="1:22" ht="13.5" customHeight="1" x14ac:dyDescent="0.2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</row>
    <row r="159" spans="1:22" ht="13.5" customHeight="1" x14ac:dyDescent="0.2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</row>
    <row r="160" spans="1:22" ht="13.5" customHeight="1" x14ac:dyDescent="0.2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</row>
    <row r="161" spans="1:22" ht="13.5" customHeight="1" x14ac:dyDescent="0.2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</row>
    <row r="162" spans="1:22" ht="13.5" customHeight="1" x14ac:dyDescent="0.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</row>
    <row r="163" spans="1:22" ht="13.5" customHeight="1" x14ac:dyDescent="0.2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</row>
    <row r="164" spans="1:22" ht="13.5" customHeight="1" x14ac:dyDescent="0.2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</row>
    <row r="165" spans="1:22" ht="13.5" customHeight="1" x14ac:dyDescent="0.2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</row>
    <row r="166" spans="1:22" ht="13.5" customHeight="1" x14ac:dyDescent="0.2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</row>
    <row r="167" spans="1:22" ht="13.5" customHeight="1" x14ac:dyDescent="0.2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</row>
    <row r="168" spans="1:22" ht="13.5" customHeight="1" x14ac:dyDescent="0.2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</row>
    <row r="169" spans="1:22" ht="13.5" customHeight="1" x14ac:dyDescent="0.2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</row>
    <row r="170" spans="1:22" ht="13.5" customHeight="1" x14ac:dyDescent="0.2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</row>
    <row r="171" spans="1:22" ht="13.5" customHeight="1" x14ac:dyDescent="0.2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</row>
    <row r="172" spans="1:22" ht="13.5" customHeight="1" x14ac:dyDescent="0.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</row>
    <row r="173" spans="1:22" ht="13.5" customHeight="1" x14ac:dyDescent="0.2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</row>
    <row r="174" spans="1:22" ht="13.5" customHeight="1" x14ac:dyDescent="0.2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</row>
    <row r="175" spans="1:22" ht="13.5" customHeight="1" x14ac:dyDescent="0.2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</row>
    <row r="176" spans="1:22" ht="13.5" customHeight="1" x14ac:dyDescent="0.2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</row>
    <row r="177" spans="1:22" ht="13.5" customHeight="1" x14ac:dyDescent="0.2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</row>
    <row r="178" spans="1:22" ht="13.5" customHeight="1" x14ac:dyDescent="0.2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</row>
    <row r="179" spans="1:22" ht="13.5" customHeight="1" x14ac:dyDescent="0.2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</row>
    <row r="180" spans="1:22" ht="13.5" customHeight="1" x14ac:dyDescent="0.2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</row>
    <row r="181" spans="1:22" ht="13.5" customHeight="1" x14ac:dyDescent="0.2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</row>
    <row r="182" spans="1:22" ht="13.5" customHeight="1" x14ac:dyDescent="0.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</row>
    <row r="183" spans="1:22" ht="13.5" customHeight="1" x14ac:dyDescent="0.2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</row>
    <row r="184" spans="1:22" ht="13.5" customHeight="1" x14ac:dyDescent="0.2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</row>
    <row r="185" spans="1:22" ht="13.5" customHeight="1" x14ac:dyDescent="0.2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</row>
    <row r="186" spans="1:22" ht="13.5" customHeight="1" x14ac:dyDescent="0.2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</row>
    <row r="187" spans="1:22" ht="13.5" customHeight="1" x14ac:dyDescent="0.2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</row>
    <row r="188" spans="1:22" ht="13.5" customHeight="1" x14ac:dyDescent="0.2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</row>
    <row r="189" spans="1:22" ht="13.5" customHeight="1" x14ac:dyDescent="0.2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</row>
    <row r="190" spans="1:22" ht="13.5" customHeight="1" x14ac:dyDescent="0.2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</row>
    <row r="191" spans="1:22" ht="13.5" customHeight="1" x14ac:dyDescent="0.2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</row>
    <row r="192" spans="1:22" ht="13.5" customHeight="1" x14ac:dyDescent="0.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</row>
    <row r="193" spans="1:22" ht="13.5" customHeight="1" x14ac:dyDescent="0.2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</row>
    <row r="194" spans="1:22" ht="13.5" customHeight="1" x14ac:dyDescent="0.2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</row>
    <row r="195" spans="1:22" ht="13.5" customHeight="1" x14ac:dyDescent="0.2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</row>
    <row r="196" spans="1:22" ht="13.5" customHeight="1" x14ac:dyDescent="0.2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</row>
    <row r="197" spans="1:22" ht="13.5" customHeight="1" x14ac:dyDescent="0.2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</row>
    <row r="198" spans="1:22" ht="13.5" customHeight="1" x14ac:dyDescent="0.2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</row>
    <row r="199" spans="1:22" ht="13.5" customHeight="1" x14ac:dyDescent="0.2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</row>
    <row r="200" spans="1:22" ht="13.5" customHeight="1" x14ac:dyDescent="0.2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</row>
    <row r="201" spans="1:22" ht="13.5" customHeight="1" x14ac:dyDescent="0.2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</row>
    <row r="202" spans="1:22" ht="13.5" customHeight="1" x14ac:dyDescent="0.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</row>
    <row r="203" spans="1:22" ht="13.5" customHeight="1" x14ac:dyDescent="0.2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</row>
    <row r="204" spans="1:22" ht="13.5" customHeight="1" x14ac:dyDescent="0.2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</row>
    <row r="205" spans="1:22" ht="13.5" customHeight="1" x14ac:dyDescent="0.2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</row>
    <row r="206" spans="1:22" ht="13.5" customHeight="1" x14ac:dyDescent="0.2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</row>
    <row r="207" spans="1:22" ht="13.5" customHeight="1" x14ac:dyDescent="0.2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</row>
    <row r="208" spans="1:22" ht="13.5" customHeight="1" x14ac:dyDescent="0.2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</row>
    <row r="209" spans="1:22" ht="13.5" customHeight="1" x14ac:dyDescent="0.2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</row>
    <row r="210" spans="1:22" ht="13.5" customHeight="1" x14ac:dyDescent="0.2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</row>
    <row r="211" spans="1:22" ht="13.5" customHeight="1" x14ac:dyDescent="0.2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</row>
    <row r="212" spans="1:22" ht="13.5" customHeight="1" x14ac:dyDescent="0.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</row>
    <row r="213" spans="1:22" ht="13.5" customHeight="1" x14ac:dyDescent="0.2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</row>
    <row r="214" spans="1:22" ht="13.5" customHeight="1" x14ac:dyDescent="0.2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</row>
    <row r="215" spans="1:22" ht="13.5" customHeight="1" x14ac:dyDescent="0.2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</row>
    <row r="216" spans="1:22" ht="13.5" customHeight="1" x14ac:dyDescent="0.2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</row>
    <row r="217" spans="1:22" ht="13.5" customHeight="1" x14ac:dyDescent="0.2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</row>
    <row r="218" spans="1:22" ht="13.5" customHeight="1" x14ac:dyDescent="0.2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</row>
    <row r="219" spans="1:22" ht="13.5" customHeight="1" x14ac:dyDescent="0.2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</row>
    <row r="220" spans="1:22" ht="13.5" customHeight="1" x14ac:dyDescent="0.2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</row>
    <row r="221" spans="1:22" ht="13.5" customHeight="1" x14ac:dyDescent="0.2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</row>
    <row r="222" spans="1:22" ht="13.5" customHeight="1" x14ac:dyDescent="0.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</row>
    <row r="223" spans="1:22" ht="13.5" customHeight="1" x14ac:dyDescent="0.2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</row>
    <row r="224" spans="1:22" ht="13.5" customHeight="1" x14ac:dyDescent="0.2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</row>
    <row r="225" spans="1:22" ht="13.5" customHeight="1" x14ac:dyDescent="0.2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</row>
    <row r="226" spans="1:22" ht="13.5" customHeight="1" x14ac:dyDescent="0.2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</row>
    <row r="227" spans="1:22" ht="13.5" customHeight="1" x14ac:dyDescent="0.2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</row>
    <row r="228" spans="1:22" ht="13.5" customHeight="1" x14ac:dyDescent="0.2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</row>
    <row r="229" spans="1:22" ht="13.5" customHeight="1" x14ac:dyDescent="0.2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</row>
    <row r="230" spans="1:22" ht="13.5" customHeight="1" x14ac:dyDescent="0.2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</row>
    <row r="231" spans="1:22" ht="13.5" customHeight="1" x14ac:dyDescent="0.2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</row>
    <row r="232" spans="1:22" ht="13.5" customHeight="1" x14ac:dyDescent="0.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</row>
    <row r="233" spans="1:22" ht="13.5" customHeight="1" x14ac:dyDescent="0.2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</row>
    <row r="234" spans="1:22" ht="13.5" customHeight="1" x14ac:dyDescent="0.2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</row>
    <row r="235" spans="1:22" ht="13.5" customHeight="1" x14ac:dyDescent="0.2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</row>
    <row r="236" spans="1:22" ht="13.5" customHeight="1" x14ac:dyDescent="0.2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</row>
    <row r="237" spans="1:22" ht="13.5" customHeight="1" x14ac:dyDescent="0.2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</row>
    <row r="238" spans="1:22" ht="13.5" customHeight="1" x14ac:dyDescent="0.2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</row>
    <row r="239" spans="1:22" ht="13.5" customHeight="1" x14ac:dyDescent="0.2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</row>
    <row r="240" spans="1:22" ht="13.5" customHeight="1" x14ac:dyDescent="0.2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</row>
    <row r="241" spans="1:22" ht="13.5" customHeight="1" x14ac:dyDescent="0.2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</row>
    <row r="242" spans="1:22" ht="13.5" customHeight="1" x14ac:dyDescent="0.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</row>
    <row r="243" spans="1:22" ht="13.5" customHeight="1" x14ac:dyDescent="0.2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</row>
    <row r="244" spans="1:22" ht="13.5" customHeight="1" x14ac:dyDescent="0.2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</row>
    <row r="245" spans="1:22" ht="13.5" customHeight="1" x14ac:dyDescent="0.2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</row>
    <row r="246" spans="1:22" ht="13.5" customHeight="1" x14ac:dyDescent="0.2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</row>
    <row r="247" spans="1:22" ht="13.5" customHeight="1" x14ac:dyDescent="0.2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</row>
    <row r="248" spans="1:22" ht="13.5" customHeight="1" x14ac:dyDescent="0.2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</row>
    <row r="249" spans="1:22" ht="13.5" customHeight="1" x14ac:dyDescent="0.2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</row>
    <row r="250" spans="1:22" ht="13.5" customHeight="1" x14ac:dyDescent="0.2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</row>
    <row r="251" spans="1:22" ht="13.5" customHeight="1" x14ac:dyDescent="0.2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</row>
    <row r="252" spans="1:22" ht="13.5" customHeight="1" x14ac:dyDescent="0.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</row>
    <row r="253" spans="1:22" ht="13.5" customHeight="1" x14ac:dyDescent="0.2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</row>
    <row r="254" spans="1:22" ht="13.5" customHeight="1" x14ac:dyDescent="0.2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</row>
    <row r="255" spans="1:22" ht="13.5" customHeight="1" x14ac:dyDescent="0.2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</row>
    <row r="256" spans="1:22" ht="13.5" customHeight="1" x14ac:dyDescent="0.2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</row>
    <row r="257" spans="1:22" ht="13.5" customHeight="1" x14ac:dyDescent="0.2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</row>
    <row r="258" spans="1:22" ht="13.5" customHeight="1" x14ac:dyDescent="0.2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</row>
    <row r="259" spans="1:22" ht="13.5" customHeight="1" x14ac:dyDescent="0.2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</row>
    <row r="260" spans="1:22" ht="13.5" customHeight="1" x14ac:dyDescent="0.2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</row>
    <row r="261" spans="1:22" ht="13.5" customHeight="1" x14ac:dyDescent="0.2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</row>
    <row r="262" spans="1:22" ht="13.5" customHeight="1" x14ac:dyDescent="0.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</row>
    <row r="263" spans="1:22" ht="13.5" customHeight="1" x14ac:dyDescent="0.2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</row>
    <row r="264" spans="1:22" ht="13.5" customHeight="1" x14ac:dyDescent="0.2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</row>
    <row r="265" spans="1:22" ht="13.5" customHeight="1" x14ac:dyDescent="0.2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</row>
    <row r="266" spans="1:22" ht="13.5" customHeight="1" x14ac:dyDescent="0.2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</row>
    <row r="267" spans="1:22" ht="13.5" customHeight="1" x14ac:dyDescent="0.2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</row>
    <row r="268" spans="1:22" ht="13.5" customHeight="1" x14ac:dyDescent="0.2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</row>
    <row r="269" spans="1:22" ht="13.5" customHeight="1" x14ac:dyDescent="0.2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</row>
    <row r="270" spans="1:22" ht="13.5" customHeight="1" x14ac:dyDescent="0.2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</row>
    <row r="271" spans="1:22" ht="13.5" customHeight="1" x14ac:dyDescent="0.2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</row>
    <row r="272" spans="1:22" ht="13.5" customHeight="1" x14ac:dyDescent="0.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</row>
    <row r="273" spans="1:22" ht="13.5" customHeight="1" x14ac:dyDescent="0.2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</row>
    <row r="274" spans="1:22" ht="13.5" customHeight="1" x14ac:dyDescent="0.2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</row>
    <row r="275" spans="1:22" ht="13.5" customHeight="1" x14ac:dyDescent="0.2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</row>
    <row r="276" spans="1:22" ht="13.5" customHeight="1" x14ac:dyDescent="0.2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</row>
    <row r="277" spans="1:22" ht="13.5" customHeight="1" x14ac:dyDescent="0.2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</row>
    <row r="278" spans="1:22" ht="13.5" customHeight="1" x14ac:dyDescent="0.2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</row>
    <row r="279" spans="1:22" ht="13.5" customHeight="1" x14ac:dyDescent="0.2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</row>
    <row r="280" spans="1:22" ht="13.5" customHeight="1" x14ac:dyDescent="0.2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</row>
    <row r="281" spans="1:22" ht="13.5" customHeight="1" x14ac:dyDescent="0.2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</row>
    <row r="282" spans="1:22" ht="13.5" customHeight="1" x14ac:dyDescent="0.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</row>
    <row r="283" spans="1:22" ht="13.5" customHeight="1" x14ac:dyDescent="0.2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</row>
    <row r="284" spans="1:22" ht="13.5" customHeight="1" x14ac:dyDescent="0.2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</row>
    <row r="285" spans="1:22" ht="13.5" customHeight="1" x14ac:dyDescent="0.2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</row>
    <row r="286" spans="1:22" ht="13.5" customHeight="1" x14ac:dyDescent="0.2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</row>
    <row r="287" spans="1:22" ht="13.5" customHeight="1" x14ac:dyDescent="0.2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</row>
    <row r="288" spans="1:22" ht="13.5" customHeight="1" x14ac:dyDescent="0.2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</row>
    <row r="289" spans="1:22" ht="13.5" customHeight="1" x14ac:dyDescent="0.2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</row>
    <row r="290" spans="1:22" ht="13.5" customHeight="1" x14ac:dyDescent="0.2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</row>
    <row r="291" spans="1:22" ht="13.5" customHeight="1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</row>
    <row r="292" spans="1:22" ht="13.5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</row>
    <row r="293" spans="1:22" ht="13.5" customHeight="1" x14ac:dyDescent="0.2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</row>
    <row r="294" spans="1:22" ht="13.5" customHeight="1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</row>
    <row r="295" spans="1:22" ht="13.5" customHeight="1" x14ac:dyDescent="0.2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</row>
    <row r="296" spans="1:22" ht="13.5" customHeight="1" x14ac:dyDescent="0.2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</row>
    <row r="297" spans="1:22" ht="13.5" customHeight="1" x14ac:dyDescent="0.2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</row>
    <row r="298" spans="1:22" ht="13.5" customHeight="1" x14ac:dyDescent="0.2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</row>
    <row r="299" spans="1:22" ht="13.5" customHeight="1" x14ac:dyDescent="0.2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</row>
    <row r="300" spans="1:22" ht="13.5" customHeight="1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</row>
    <row r="301" spans="1:22" ht="13.5" customHeight="1" x14ac:dyDescent="0.2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</row>
    <row r="302" spans="1:22" ht="13.5" customHeight="1" x14ac:dyDescent="0.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</row>
    <row r="303" spans="1:22" ht="13.5" customHeight="1" x14ac:dyDescent="0.2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</row>
    <row r="304" spans="1:22" ht="13.5" customHeight="1" x14ac:dyDescent="0.2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</row>
    <row r="305" spans="1:22" ht="13.5" customHeight="1" x14ac:dyDescent="0.2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</row>
    <row r="306" spans="1:22" ht="13.5" customHeight="1" x14ac:dyDescent="0.2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</row>
    <row r="307" spans="1:22" ht="13.5" customHeight="1" x14ac:dyDescent="0.2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</row>
    <row r="308" spans="1:22" ht="13.5" customHeight="1" x14ac:dyDescent="0.2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</row>
    <row r="309" spans="1:22" ht="13.5" customHeight="1" x14ac:dyDescent="0.2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</row>
    <row r="310" spans="1:22" ht="13.5" customHeight="1" x14ac:dyDescent="0.2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</row>
    <row r="311" spans="1:22" ht="13.5" customHeight="1" x14ac:dyDescent="0.2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</row>
    <row r="312" spans="1:22" ht="13.5" customHeight="1" x14ac:dyDescent="0.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</row>
    <row r="313" spans="1:22" ht="13.5" customHeight="1" x14ac:dyDescent="0.2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</row>
    <row r="314" spans="1:22" ht="13.5" customHeight="1" x14ac:dyDescent="0.2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</row>
    <row r="315" spans="1:22" ht="13.5" customHeight="1" x14ac:dyDescent="0.2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</row>
    <row r="316" spans="1:22" ht="13.5" customHeight="1" x14ac:dyDescent="0.2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</row>
    <row r="317" spans="1:22" ht="13.5" customHeight="1" x14ac:dyDescent="0.2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</row>
    <row r="318" spans="1:22" ht="13.5" customHeight="1" x14ac:dyDescent="0.2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</row>
    <row r="319" spans="1:22" ht="13.5" customHeight="1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</row>
    <row r="320" spans="1:22" ht="13.5" customHeight="1" x14ac:dyDescent="0.2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</row>
    <row r="321" spans="1:22" ht="13.5" customHeight="1" x14ac:dyDescent="0.2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</row>
    <row r="322" spans="1:22" ht="13.5" customHeight="1" x14ac:dyDescent="0.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</row>
    <row r="323" spans="1:22" ht="13.5" customHeight="1" x14ac:dyDescent="0.2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</row>
    <row r="324" spans="1:22" ht="13.5" customHeight="1" x14ac:dyDescent="0.2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</row>
    <row r="325" spans="1:22" ht="13.5" customHeight="1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</row>
    <row r="326" spans="1:22" ht="13.5" customHeight="1" x14ac:dyDescent="0.2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</row>
    <row r="327" spans="1:22" ht="13.5" customHeight="1" x14ac:dyDescent="0.2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</row>
    <row r="328" spans="1:22" ht="13.5" customHeight="1" x14ac:dyDescent="0.2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</row>
    <row r="329" spans="1:22" ht="13.5" customHeight="1" x14ac:dyDescent="0.2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</row>
    <row r="330" spans="1:22" ht="13.5" customHeight="1" x14ac:dyDescent="0.2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</row>
    <row r="331" spans="1:22" ht="13.5" customHeight="1" x14ac:dyDescent="0.2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</row>
    <row r="332" spans="1:22" ht="13.5" customHeight="1" x14ac:dyDescent="0.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</row>
    <row r="333" spans="1:22" ht="13.5" customHeight="1" x14ac:dyDescent="0.2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</row>
    <row r="334" spans="1:22" ht="13.5" customHeight="1" x14ac:dyDescent="0.2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</row>
    <row r="335" spans="1:22" ht="13.5" customHeight="1" x14ac:dyDescent="0.2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</row>
    <row r="336" spans="1:22" ht="13.5" customHeight="1" x14ac:dyDescent="0.2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</row>
    <row r="337" spans="1:22" ht="13.5" customHeight="1" x14ac:dyDescent="0.2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</row>
    <row r="338" spans="1:22" ht="13.5" customHeight="1" x14ac:dyDescent="0.2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</row>
    <row r="339" spans="1:22" ht="13.5" customHeight="1" x14ac:dyDescent="0.2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</row>
    <row r="340" spans="1:22" ht="13.5" customHeight="1" x14ac:dyDescent="0.2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</row>
    <row r="341" spans="1:22" ht="13.5" customHeight="1" x14ac:dyDescent="0.2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</row>
    <row r="342" spans="1:22" ht="13.5" customHeight="1" x14ac:dyDescent="0.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</row>
    <row r="343" spans="1:22" ht="13.5" customHeight="1" x14ac:dyDescent="0.2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</row>
    <row r="344" spans="1:22" ht="13.5" customHeight="1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</row>
    <row r="345" spans="1:22" ht="13.5" customHeight="1" x14ac:dyDescent="0.2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</row>
    <row r="346" spans="1:22" ht="13.5" customHeight="1" x14ac:dyDescent="0.2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</row>
    <row r="347" spans="1:22" ht="13.5" customHeight="1" x14ac:dyDescent="0.2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</row>
    <row r="348" spans="1:22" ht="13.5" customHeight="1" x14ac:dyDescent="0.2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</row>
    <row r="349" spans="1:22" ht="13.5" customHeight="1" x14ac:dyDescent="0.2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</row>
    <row r="350" spans="1:22" ht="13.5" customHeight="1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</row>
    <row r="351" spans="1:22" ht="13.5" customHeight="1" x14ac:dyDescent="0.2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</row>
    <row r="352" spans="1:22" ht="13.5" customHeight="1" x14ac:dyDescent="0.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</row>
    <row r="353" spans="1:22" ht="13.5" customHeight="1" x14ac:dyDescent="0.2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</row>
    <row r="354" spans="1:22" ht="13.5" customHeight="1" x14ac:dyDescent="0.2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</row>
    <row r="355" spans="1:22" ht="13.5" customHeight="1" x14ac:dyDescent="0.2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</row>
    <row r="356" spans="1:22" ht="13.5" customHeight="1" x14ac:dyDescent="0.2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</row>
    <row r="357" spans="1:22" ht="13.5" customHeight="1" x14ac:dyDescent="0.2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</row>
    <row r="358" spans="1:22" ht="13.5" customHeight="1" x14ac:dyDescent="0.2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</row>
    <row r="359" spans="1:22" ht="13.5" customHeight="1" x14ac:dyDescent="0.2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</row>
    <row r="360" spans="1:22" ht="13.5" customHeight="1" x14ac:dyDescent="0.2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</row>
    <row r="361" spans="1:22" ht="13.5" customHeight="1" x14ac:dyDescent="0.2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</row>
    <row r="362" spans="1:22" ht="13.5" customHeight="1" x14ac:dyDescent="0.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</row>
    <row r="363" spans="1:22" ht="13.5" customHeight="1" x14ac:dyDescent="0.2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</row>
    <row r="364" spans="1:22" ht="13.5" customHeight="1" x14ac:dyDescent="0.2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</row>
    <row r="365" spans="1:22" ht="13.5" customHeight="1" x14ac:dyDescent="0.2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</row>
    <row r="366" spans="1:22" ht="13.5" customHeight="1" x14ac:dyDescent="0.2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</row>
    <row r="367" spans="1:22" ht="13.5" customHeight="1" x14ac:dyDescent="0.2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</row>
    <row r="368" spans="1:22" ht="13.5" customHeight="1" x14ac:dyDescent="0.2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</row>
    <row r="369" spans="1:22" ht="13.5" customHeight="1" x14ac:dyDescent="0.2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</row>
    <row r="370" spans="1:22" ht="13.5" customHeight="1" x14ac:dyDescent="0.2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</row>
    <row r="371" spans="1:22" ht="13.5" customHeight="1" x14ac:dyDescent="0.2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</row>
    <row r="372" spans="1:22" ht="13.5" customHeight="1" x14ac:dyDescent="0.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</row>
    <row r="373" spans="1:22" ht="13.5" customHeight="1" x14ac:dyDescent="0.2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</row>
    <row r="374" spans="1:22" ht="13.5" customHeight="1" x14ac:dyDescent="0.2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</row>
    <row r="375" spans="1:22" ht="13.5" customHeight="1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</row>
    <row r="376" spans="1:22" ht="13.5" customHeight="1" x14ac:dyDescent="0.2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</row>
    <row r="377" spans="1:22" ht="13.5" customHeight="1" x14ac:dyDescent="0.2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</row>
    <row r="378" spans="1:22" ht="13.5" customHeight="1" x14ac:dyDescent="0.2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</row>
    <row r="379" spans="1:22" ht="13.5" customHeight="1" x14ac:dyDescent="0.2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</row>
    <row r="380" spans="1:22" ht="13.5" customHeight="1" x14ac:dyDescent="0.2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</row>
    <row r="381" spans="1:22" ht="13.5" customHeight="1" x14ac:dyDescent="0.2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</row>
    <row r="382" spans="1:22" ht="13.5" customHeight="1" x14ac:dyDescent="0.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</row>
    <row r="383" spans="1:22" ht="13.5" customHeight="1" x14ac:dyDescent="0.2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</row>
    <row r="384" spans="1:22" ht="13.5" customHeight="1" x14ac:dyDescent="0.2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</row>
    <row r="385" spans="1:22" ht="13.5" customHeight="1" x14ac:dyDescent="0.2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</row>
    <row r="386" spans="1:22" ht="13.5" customHeight="1" x14ac:dyDescent="0.2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</row>
    <row r="387" spans="1:22" ht="13.5" customHeight="1" x14ac:dyDescent="0.2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</row>
    <row r="388" spans="1:22" ht="13.5" customHeight="1" x14ac:dyDescent="0.2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</row>
    <row r="389" spans="1:22" ht="13.5" customHeight="1" x14ac:dyDescent="0.2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</row>
    <row r="390" spans="1:22" ht="13.5" customHeight="1" x14ac:dyDescent="0.2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</row>
    <row r="391" spans="1:22" ht="13.5" customHeight="1" x14ac:dyDescent="0.2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</row>
    <row r="392" spans="1:22" ht="13.5" customHeight="1" x14ac:dyDescent="0.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</row>
    <row r="393" spans="1:22" ht="13.5" customHeight="1" x14ac:dyDescent="0.2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</row>
    <row r="394" spans="1:22" ht="13.5" customHeight="1" x14ac:dyDescent="0.2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</row>
    <row r="395" spans="1:22" ht="13.5" customHeight="1" x14ac:dyDescent="0.2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</row>
    <row r="396" spans="1:22" ht="13.5" customHeight="1" x14ac:dyDescent="0.2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</row>
    <row r="397" spans="1:22" ht="13.5" customHeight="1" x14ac:dyDescent="0.2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</row>
    <row r="398" spans="1:22" ht="13.5" customHeight="1" x14ac:dyDescent="0.2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</row>
    <row r="399" spans="1:22" ht="13.5" customHeight="1" x14ac:dyDescent="0.2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</row>
    <row r="400" spans="1:22" ht="13.5" customHeight="1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</row>
    <row r="401" spans="1:22" ht="13.5" customHeight="1" x14ac:dyDescent="0.2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</row>
    <row r="402" spans="1:22" ht="13.5" customHeight="1" x14ac:dyDescent="0.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</row>
    <row r="403" spans="1:22" ht="13.5" customHeight="1" x14ac:dyDescent="0.2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</row>
    <row r="404" spans="1:22" ht="13.5" customHeight="1" x14ac:dyDescent="0.2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</row>
    <row r="405" spans="1:22" ht="13.5" customHeight="1" x14ac:dyDescent="0.2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</row>
    <row r="406" spans="1:22" ht="13.5" customHeight="1" x14ac:dyDescent="0.2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</row>
    <row r="407" spans="1:22" ht="13.5" customHeight="1" x14ac:dyDescent="0.2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</row>
    <row r="408" spans="1:22" ht="13.5" customHeight="1" x14ac:dyDescent="0.2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</row>
    <row r="409" spans="1:22" ht="13.5" customHeight="1" x14ac:dyDescent="0.2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</row>
    <row r="410" spans="1:22" ht="13.5" customHeight="1" x14ac:dyDescent="0.2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</row>
    <row r="411" spans="1:22" ht="13.5" customHeight="1" x14ac:dyDescent="0.2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</row>
    <row r="412" spans="1:22" ht="13.5" customHeight="1" x14ac:dyDescent="0.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</row>
    <row r="413" spans="1:22" ht="13.5" customHeight="1" x14ac:dyDescent="0.2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</row>
    <row r="414" spans="1:22" ht="13.5" customHeight="1" x14ac:dyDescent="0.2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</row>
    <row r="415" spans="1:22" ht="13.5" customHeight="1" x14ac:dyDescent="0.2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</row>
    <row r="416" spans="1:22" ht="13.5" customHeight="1" x14ac:dyDescent="0.2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</row>
    <row r="417" spans="1:22" ht="13.5" customHeight="1" x14ac:dyDescent="0.2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</row>
    <row r="418" spans="1:22" ht="13.5" customHeight="1" x14ac:dyDescent="0.2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</row>
    <row r="419" spans="1:22" ht="13.5" customHeight="1" x14ac:dyDescent="0.2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</row>
    <row r="420" spans="1:22" ht="13.5" customHeight="1" x14ac:dyDescent="0.2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</row>
    <row r="421" spans="1:22" ht="13.5" customHeight="1" x14ac:dyDescent="0.2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</row>
    <row r="422" spans="1:22" ht="13.5" customHeight="1" x14ac:dyDescent="0.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</row>
    <row r="423" spans="1:22" ht="13.5" customHeight="1" x14ac:dyDescent="0.2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</row>
    <row r="424" spans="1:22" ht="13.5" customHeight="1" x14ac:dyDescent="0.2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</row>
    <row r="425" spans="1:22" ht="13.5" customHeight="1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</row>
    <row r="426" spans="1:22" ht="13.5" customHeight="1" x14ac:dyDescent="0.2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</row>
    <row r="427" spans="1:22" ht="13.5" customHeight="1" x14ac:dyDescent="0.2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</row>
    <row r="428" spans="1:22" ht="13.5" customHeight="1" x14ac:dyDescent="0.2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</row>
    <row r="429" spans="1:22" ht="13.5" customHeight="1" x14ac:dyDescent="0.2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</row>
    <row r="430" spans="1:22" ht="13.5" customHeight="1" x14ac:dyDescent="0.2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</row>
    <row r="431" spans="1:22" ht="13.5" customHeight="1" x14ac:dyDescent="0.2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</row>
    <row r="432" spans="1:22" ht="13.5" customHeight="1" x14ac:dyDescent="0.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</row>
    <row r="433" spans="1:22" ht="13.5" customHeight="1" x14ac:dyDescent="0.2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</row>
    <row r="434" spans="1:22" ht="13.5" customHeight="1" x14ac:dyDescent="0.2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</row>
    <row r="435" spans="1:22" ht="13.5" customHeight="1" x14ac:dyDescent="0.2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</row>
    <row r="436" spans="1:22" ht="13.5" customHeight="1" x14ac:dyDescent="0.2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</row>
    <row r="437" spans="1:22" ht="13.5" customHeight="1" x14ac:dyDescent="0.2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</row>
    <row r="438" spans="1:22" ht="13.5" customHeight="1" x14ac:dyDescent="0.2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</row>
    <row r="439" spans="1:22" ht="13.5" customHeight="1" x14ac:dyDescent="0.2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</row>
    <row r="440" spans="1:22" ht="13.5" customHeight="1" x14ac:dyDescent="0.2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</row>
    <row r="441" spans="1:22" ht="13.5" customHeight="1" x14ac:dyDescent="0.2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</row>
    <row r="442" spans="1:22" ht="13.5" customHeight="1" x14ac:dyDescent="0.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</row>
    <row r="443" spans="1:22" ht="13.5" customHeight="1" x14ac:dyDescent="0.2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</row>
    <row r="444" spans="1:22" ht="13.5" customHeight="1" x14ac:dyDescent="0.2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</row>
    <row r="445" spans="1:22" ht="13.5" customHeight="1" x14ac:dyDescent="0.2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</row>
    <row r="446" spans="1:22" ht="13.5" customHeight="1" x14ac:dyDescent="0.2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</row>
    <row r="447" spans="1:22" ht="13.5" customHeight="1" x14ac:dyDescent="0.2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</row>
    <row r="448" spans="1:22" ht="13.5" customHeight="1" x14ac:dyDescent="0.2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</row>
    <row r="449" spans="1:22" ht="13.5" customHeight="1" x14ac:dyDescent="0.2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</row>
    <row r="450" spans="1:22" ht="13.5" customHeight="1" x14ac:dyDescent="0.2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</row>
    <row r="451" spans="1:22" ht="13.5" customHeight="1" x14ac:dyDescent="0.2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</row>
    <row r="452" spans="1:22" ht="13.5" customHeight="1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</row>
    <row r="453" spans="1:22" ht="13.5" customHeight="1" x14ac:dyDescent="0.2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</row>
    <row r="454" spans="1:22" ht="13.5" customHeight="1" x14ac:dyDescent="0.2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</row>
    <row r="455" spans="1:22" ht="13.5" customHeight="1" x14ac:dyDescent="0.2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</row>
    <row r="456" spans="1:22" ht="13.5" customHeight="1" x14ac:dyDescent="0.2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</row>
    <row r="457" spans="1:22" ht="13.5" customHeight="1" x14ac:dyDescent="0.2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</row>
    <row r="458" spans="1:22" ht="13.5" customHeight="1" x14ac:dyDescent="0.2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</row>
    <row r="459" spans="1:22" ht="13.5" customHeight="1" x14ac:dyDescent="0.2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</row>
    <row r="460" spans="1:22" ht="13.5" customHeight="1" x14ac:dyDescent="0.2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</row>
    <row r="461" spans="1:22" ht="13.5" customHeight="1" x14ac:dyDescent="0.2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</row>
    <row r="462" spans="1:22" ht="13.5" customHeight="1" x14ac:dyDescent="0.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</row>
    <row r="463" spans="1:22" ht="13.5" customHeight="1" x14ac:dyDescent="0.2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</row>
    <row r="464" spans="1:22" ht="13.5" customHeight="1" x14ac:dyDescent="0.2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</row>
    <row r="465" spans="1:22" ht="13.5" customHeight="1" x14ac:dyDescent="0.2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</row>
    <row r="466" spans="1:22" ht="13.5" customHeight="1" x14ac:dyDescent="0.2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</row>
    <row r="467" spans="1:22" ht="13.5" customHeight="1" x14ac:dyDescent="0.2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</row>
    <row r="468" spans="1:22" ht="13.5" customHeight="1" x14ac:dyDescent="0.2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</row>
    <row r="469" spans="1:22" ht="13.5" customHeight="1" x14ac:dyDescent="0.2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</row>
    <row r="470" spans="1:22" ht="13.5" customHeight="1" x14ac:dyDescent="0.2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</row>
    <row r="471" spans="1:22" ht="13.5" customHeight="1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</row>
    <row r="472" spans="1:22" ht="13.5" customHeight="1" x14ac:dyDescent="0.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</row>
    <row r="473" spans="1:22" ht="13.5" customHeight="1" x14ac:dyDescent="0.2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</row>
    <row r="474" spans="1:22" ht="13.5" customHeight="1" x14ac:dyDescent="0.2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</row>
    <row r="475" spans="1:22" ht="13.5" customHeight="1" x14ac:dyDescent="0.2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</row>
    <row r="476" spans="1:22" ht="13.5" customHeight="1" x14ac:dyDescent="0.2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</row>
    <row r="477" spans="1:22" ht="13.5" customHeight="1" x14ac:dyDescent="0.2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</row>
    <row r="478" spans="1:22" ht="13.5" customHeight="1" x14ac:dyDescent="0.2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</row>
    <row r="479" spans="1:22" ht="13.5" customHeight="1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</row>
    <row r="480" spans="1:22" ht="13.5" customHeight="1" x14ac:dyDescent="0.2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</row>
    <row r="481" spans="1:22" ht="13.5" customHeight="1" x14ac:dyDescent="0.2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</row>
    <row r="482" spans="1:22" ht="13.5" customHeight="1" x14ac:dyDescent="0.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</row>
    <row r="483" spans="1:22" ht="13.5" customHeight="1" x14ac:dyDescent="0.2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</row>
    <row r="484" spans="1:22" ht="13.5" customHeight="1" x14ac:dyDescent="0.2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</row>
    <row r="485" spans="1:22" ht="13.5" customHeight="1" x14ac:dyDescent="0.2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</row>
    <row r="486" spans="1:22" ht="13.5" customHeight="1" x14ac:dyDescent="0.2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</row>
    <row r="487" spans="1:22" ht="13.5" customHeight="1" x14ac:dyDescent="0.2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</row>
    <row r="488" spans="1:22" ht="13.5" customHeight="1" x14ac:dyDescent="0.2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</row>
    <row r="489" spans="1:22" ht="13.5" customHeight="1" x14ac:dyDescent="0.2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</row>
    <row r="490" spans="1:22" ht="13.5" customHeight="1" x14ac:dyDescent="0.2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</row>
    <row r="491" spans="1:22" ht="13.5" customHeight="1" x14ac:dyDescent="0.2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</row>
    <row r="492" spans="1:22" ht="13.5" customHeight="1" x14ac:dyDescent="0.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</row>
    <row r="493" spans="1:22" ht="13.5" customHeight="1" x14ac:dyDescent="0.2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</row>
    <row r="494" spans="1:22" ht="13.5" customHeight="1" x14ac:dyDescent="0.2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</row>
    <row r="495" spans="1:22" ht="13.5" customHeight="1" x14ac:dyDescent="0.2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</row>
    <row r="496" spans="1:22" ht="13.5" customHeight="1" x14ac:dyDescent="0.2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</row>
    <row r="497" spans="1:22" ht="13.5" customHeight="1" x14ac:dyDescent="0.2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</row>
    <row r="498" spans="1:22" ht="13.5" customHeight="1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</row>
    <row r="499" spans="1:22" ht="13.5" customHeight="1" x14ac:dyDescent="0.2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</row>
    <row r="500" spans="1:22" ht="13.5" customHeight="1" x14ac:dyDescent="0.2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</row>
    <row r="501" spans="1:22" ht="13.5" customHeight="1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</row>
    <row r="502" spans="1:22" ht="13.5" customHeight="1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</row>
    <row r="503" spans="1:22" ht="13.5" customHeight="1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</row>
    <row r="504" spans="1:22" ht="13.5" customHeight="1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</row>
    <row r="505" spans="1:22" ht="13.5" customHeight="1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</row>
    <row r="506" spans="1:22" ht="13.5" customHeight="1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</row>
    <row r="507" spans="1:22" ht="13.5" customHeight="1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</row>
    <row r="508" spans="1:22" ht="13.5" customHeight="1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</row>
    <row r="509" spans="1:22" ht="13.5" customHeight="1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</row>
    <row r="510" spans="1:22" ht="13.5" customHeight="1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</row>
    <row r="511" spans="1:22" ht="13.5" customHeight="1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</row>
    <row r="512" spans="1:22" ht="13.5" customHeight="1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</row>
    <row r="513" spans="1:22" ht="13.5" customHeight="1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</row>
    <row r="514" spans="1:22" ht="13.5" customHeight="1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</row>
    <row r="515" spans="1:22" ht="13.5" customHeight="1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</row>
    <row r="516" spans="1:22" ht="13.5" customHeight="1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</row>
    <row r="517" spans="1:22" ht="13.5" customHeight="1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</row>
    <row r="518" spans="1:22" ht="13.5" customHeight="1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</row>
    <row r="519" spans="1:22" ht="13.5" customHeight="1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</row>
    <row r="520" spans="1:22" ht="13.5" customHeight="1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</row>
    <row r="521" spans="1:22" ht="13.5" customHeight="1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</row>
    <row r="522" spans="1:22" ht="13.5" customHeight="1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</row>
    <row r="523" spans="1:22" ht="13.5" customHeight="1" x14ac:dyDescent="0.2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</row>
    <row r="524" spans="1:22" ht="13.5" customHeight="1" x14ac:dyDescent="0.2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</row>
    <row r="525" spans="1:22" ht="13.5" customHeight="1" x14ac:dyDescent="0.2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</row>
    <row r="526" spans="1:22" ht="13.5" customHeight="1" x14ac:dyDescent="0.2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</row>
    <row r="527" spans="1:22" ht="13.5" customHeight="1" x14ac:dyDescent="0.2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</row>
    <row r="528" spans="1:22" ht="13.5" customHeight="1" x14ac:dyDescent="0.2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</row>
    <row r="529" spans="1:22" ht="13.5" customHeight="1" x14ac:dyDescent="0.2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</row>
    <row r="530" spans="1:22" ht="13.5" customHeight="1" x14ac:dyDescent="0.2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</row>
    <row r="531" spans="1:22" ht="13.5" customHeight="1" x14ac:dyDescent="0.2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</row>
    <row r="532" spans="1:22" ht="13.5" customHeight="1" x14ac:dyDescent="0.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</row>
    <row r="533" spans="1:22" ht="13.5" customHeight="1" x14ac:dyDescent="0.2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</row>
    <row r="534" spans="1:22" ht="13.5" customHeight="1" x14ac:dyDescent="0.2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</row>
    <row r="535" spans="1:22" ht="13.5" customHeight="1" x14ac:dyDescent="0.2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</row>
    <row r="536" spans="1:22" ht="13.5" customHeight="1" x14ac:dyDescent="0.2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</row>
    <row r="537" spans="1:22" ht="13.5" customHeight="1" x14ac:dyDescent="0.2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</row>
    <row r="538" spans="1:22" ht="13.5" customHeight="1" x14ac:dyDescent="0.2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</row>
    <row r="539" spans="1:22" ht="13.5" customHeight="1" x14ac:dyDescent="0.2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</row>
    <row r="540" spans="1:22" ht="13.5" customHeight="1" x14ac:dyDescent="0.2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</row>
    <row r="541" spans="1:22" ht="13.5" customHeight="1" x14ac:dyDescent="0.2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</row>
    <row r="542" spans="1:22" ht="13.5" customHeight="1" x14ac:dyDescent="0.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</row>
    <row r="543" spans="1:22" ht="13.5" customHeight="1" x14ac:dyDescent="0.2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</row>
    <row r="544" spans="1:22" ht="13.5" customHeight="1" x14ac:dyDescent="0.2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</row>
    <row r="545" spans="1:22" ht="13.5" customHeight="1" x14ac:dyDescent="0.2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</row>
    <row r="546" spans="1:22" ht="13.5" customHeight="1" x14ac:dyDescent="0.2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</row>
    <row r="547" spans="1:22" ht="13.5" customHeight="1" x14ac:dyDescent="0.2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</row>
    <row r="548" spans="1:22" ht="13.5" customHeight="1" x14ac:dyDescent="0.2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</row>
    <row r="549" spans="1:22" ht="13.5" customHeight="1" x14ac:dyDescent="0.2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</row>
    <row r="550" spans="1:22" ht="13.5" customHeight="1" x14ac:dyDescent="0.2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</row>
    <row r="551" spans="1:22" ht="13.5" customHeight="1" x14ac:dyDescent="0.2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</row>
    <row r="552" spans="1:22" ht="13.5" customHeight="1" x14ac:dyDescent="0.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</row>
    <row r="553" spans="1:22" ht="13.5" customHeight="1" x14ac:dyDescent="0.2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</row>
    <row r="554" spans="1:22" ht="13.5" customHeight="1" x14ac:dyDescent="0.2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</row>
    <row r="555" spans="1:22" ht="13.5" customHeight="1" x14ac:dyDescent="0.2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</row>
    <row r="556" spans="1:22" ht="13.5" customHeight="1" x14ac:dyDescent="0.2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</row>
    <row r="557" spans="1:22" ht="13.5" customHeight="1" x14ac:dyDescent="0.2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</row>
    <row r="558" spans="1:22" ht="13.5" customHeight="1" x14ac:dyDescent="0.2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</row>
    <row r="559" spans="1:22" ht="13.5" customHeight="1" x14ac:dyDescent="0.2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</row>
    <row r="560" spans="1:22" ht="13.5" customHeight="1" x14ac:dyDescent="0.2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</row>
    <row r="561" spans="1:22" ht="13.5" customHeight="1" x14ac:dyDescent="0.2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</row>
    <row r="562" spans="1:22" ht="13.5" customHeight="1" x14ac:dyDescent="0.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</row>
    <row r="563" spans="1:22" ht="13.5" customHeight="1" x14ac:dyDescent="0.2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</row>
    <row r="564" spans="1:22" ht="13.5" customHeight="1" x14ac:dyDescent="0.2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</row>
    <row r="565" spans="1:22" ht="13.5" customHeight="1" x14ac:dyDescent="0.2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</row>
    <row r="566" spans="1:22" ht="13.5" customHeight="1" x14ac:dyDescent="0.2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</row>
    <row r="567" spans="1:22" ht="13.5" customHeight="1" x14ac:dyDescent="0.2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</row>
    <row r="568" spans="1:22" ht="13.5" customHeight="1" x14ac:dyDescent="0.2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</row>
    <row r="569" spans="1:22" ht="13.5" customHeight="1" x14ac:dyDescent="0.2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</row>
    <row r="570" spans="1:22" ht="13.5" customHeight="1" x14ac:dyDescent="0.2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</row>
    <row r="571" spans="1:22" ht="13.5" customHeight="1" x14ac:dyDescent="0.2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</row>
    <row r="572" spans="1:22" ht="13.5" customHeight="1" x14ac:dyDescent="0.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</row>
    <row r="573" spans="1:22" ht="13.5" customHeight="1" x14ac:dyDescent="0.2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</row>
    <row r="574" spans="1:22" ht="13.5" customHeight="1" x14ac:dyDescent="0.2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</row>
    <row r="575" spans="1:22" ht="13.5" customHeight="1" x14ac:dyDescent="0.2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</row>
    <row r="576" spans="1:22" ht="13.5" customHeight="1" x14ac:dyDescent="0.2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</row>
    <row r="577" spans="1:22" ht="13.5" customHeight="1" x14ac:dyDescent="0.2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</row>
    <row r="578" spans="1:22" ht="13.5" customHeight="1" x14ac:dyDescent="0.2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</row>
    <row r="579" spans="1:22" ht="13.5" customHeight="1" x14ac:dyDescent="0.2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</row>
    <row r="580" spans="1:22" ht="13.5" customHeight="1" x14ac:dyDescent="0.2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</row>
    <row r="581" spans="1:22" ht="13.5" customHeight="1" x14ac:dyDescent="0.2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</row>
    <row r="582" spans="1:22" ht="13.5" customHeight="1" x14ac:dyDescent="0.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</row>
    <row r="583" spans="1:22" ht="13.5" customHeight="1" x14ac:dyDescent="0.2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</row>
    <row r="584" spans="1:22" ht="13.5" customHeight="1" x14ac:dyDescent="0.2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</row>
    <row r="585" spans="1:22" ht="13.5" customHeight="1" x14ac:dyDescent="0.2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</row>
    <row r="586" spans="1:22" ht="13.5" customHeight="1" x14ac:dyDescent="0.2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</row>
    <row r="587" spans="1:22" ht="13.5" customHeight="1" x14ac:dyDescent="0.2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</row>
    <row r="588" spans="1:22" ht="13.5" customHeight="1" x14ac:dyDescent="0.2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</row>
    <row r="589" spans="1:22" ht="13.5" customHeight="1" x14ac:dyDescent="0.2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</row>
    <row r="590" spans="1:22" ht="13.5" customHeight="1" x14ac:dyDescent="0.2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</row>
    <row r="591" spans="1:22" ht="13.5" customHeight="1" x14ac:dyDescent="0.2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</row>
    <row r="592" spans="1:22" ht="13.5" customHeight="1" x14ac:dyDescent="0.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</row>
    <row r="593" spans="1:22" ht="13.5" customHeight="1" x14ac:dyDescent="0.2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</row>
    <row r="594" spans="1:22" ht="13.5" customHeight="1" x14ac:dyDescent="0.2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</row>
    <row r="595" spans="1:22" ht="13.5" customHeight="1" x14ac:dyDescent="0.2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</row>
    <row r="596" spans="1:22" ht="13.5" customHeight="1" x14ac:dyDescent="0.2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</row>
    <row r="597" spans="1:22" ht="13.5" customHeight="1" x14ac:dyDescent="0.2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</row>
    <row r="598" spans="1:22" ht="13.5" customHeight="1" x14ac:dyDescent="0.2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</row>
    <row r="599" spans="1:22" ht="13.5" customHeight="1" x14ac:dyDescent="0.2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</row>
    <row r="600" spans="1:22" ht="13.5" customHeight="1" x14ac:dyDescent="0.2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</row>
    <row r="601" spans="1:22" ht="13.5" customHeight="1" x14ac:dyDescent="0.2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</row>
    <row r="602" spans="1:22" ht="13.5" customHeight="1" x14ac:dyDescent="0.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</row>
    <row r="603" spans="1:22" ht="13.5" customHeight="1" x14ac:dyDescent="0.2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</row>
    <row r="604" spans="1:22" ht="13.5" customHeight="1" x14ac:dyDescent="0.2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</row>
    <row r="605" spans="1:22" ht="13.5" customHeight="1" x14ac:dyDescent="0.2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</row>
    <row r="606" spans="1:22" ht="13.5" customHeight="1" x14ac:dyDescent="0.2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</row>
    <row r="607" spans="1:22" ht="13.5" customHeight="1" x14ac:dyDescent="0.2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</row>
    <row r="608" spans="1:22" ht="13.5" customHeight="1" x14ac:dyDescent="0.2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</row>
    <row r="609" spans="1:22" ht="13.5" customHeight="1" x14ac:dyDescent="0.2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</row>
    <row r="610" spans="1:22" ht="13.5" customHeight="1" x14ac:dyDescent="0.2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</row>
    <row r="611" spans="1:22" ht="13.5" customHeight="1" x14ac:dyDescent="0.2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</row>
    <row r="612" spans="1:22" ht="13.5" customHeight="1" x14ac:dyDescent="0.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</row>
    <row r="613" spans="1:22" ht="13.5" customHeight="1" x14ac:dyDescent="0.2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</row>
    <row r="614" spans="1:22" ht="13.5" customHeight="1" x14ac:dyDescent="0.2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</row>
    <row r="615" spans="1:22" ht="13.5" customHeight="1" x14ac:dyDescent="0.2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</row>
    <row r="616" spans="1:22" ht="13.5" customHeight="1" x14ac:dyDescent="0.2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</row>
    <row r="617" spans="1:22" ht="13.5" customHeight="1" x14ac:dyDescent="0.2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</row>
    <row r="618" spans="1:22" ht="13.5" customHeight="1" x14ac:dyDescent="0.2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</row>
    <row r="619" spans="1:22" ht="13.5" customHeight="1" x14ac:dyDescent="0.2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</row>
    <row r="620" spans="1:22" ht="13.5" customHeight="1" x14ac:dyDescent="0.2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</row>
    <row r="621" spans="1:22" ht="13.5" customHeight="1" x14ac:dyDescent="0.2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</row>
    <row r="622" spans="1:22" ht="13.5" customHeight="1" x14ac:dyDescent="0.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</row>
    <row r="623" spans="1:22" ht="13.5" customHeight="1" x14ac:dyDescent="0.2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</row>
    <row r="624" spans="1:22" ht="13.5" customHeight="1" x14ac:dyDescent="0.2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</row>
    <row r="625" spans="1:22" ht="13.5" customHeight="1" x14ac:dyDescent="0.2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</row>
    <row r="626" spans="1:22" ht="13.5" customHeight="1" x14ac:dyDescent="0.2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</row>
    <row r="627" spans="1:22" ht="13.5" customHeight="1" x14ac:dyDescent="0.2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</row>
    <row r="628" spans="1:22" ht="13.5" customHeight="1" x14ac:dyDescent="0.2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</row>
    <row r="629" spans="1:22" ht="13.5" customHeight="1" x14ac:dyDescent="0.2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</row>
    <row r="630" spans="1:22" ht="13.5" customHeight="1" x14ac:dyDescent="0.2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</row>
    <row r="631" spans="1:22" ht="13.5" customHeight="1" x14ac:dyDescent="0.2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</row>
    <row r="632" spans="1:22" ht="13.5" customHeight="1" x14ac:dyDescent="0.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</row>
    <row r="633" spans="1:22" ht="13.5" customHeight="1" x14ac:dyDescent="0.2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</row>
    <row r="634" spans="1:22" ht="13.5" customHeight="1" x14ac:dyDescent="0.2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</row>
    <row r="635" spans="1:22" ht="13.5" customHeight="1" x14ac:dyDescent="0.2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</row>
    <row r="636" spans="1:22" ht="13.5" customHeight="1" x14ac:dyDescent="0.2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</row>
    <row r="637" spans="1:22" ht="13.5" customHeight="1" x14ac:dyDescent="0.2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</row>
    <row r="638" spans="1:22" ht="13.5" customHeight="1" x14ac:dyDescent="0.2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</row>
    <row r="639" spans="1:22" ht="13.5" customHeight="1" x14ac:dyDescent="0.2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</row>
    <row r="640" spans="1:22" ht="13.5" customHeight="1" x14ac:dyDescent="0.2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</row>
    <row r="641" spans="1:22" ht="13.5" customHeight="1" x14ac:dyDescent="0.2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</row>
    <row r="642" spans="1:22" ht="13.5" customHeight="1" x14ac:dyDescent="0.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</row>
    <row r="643" spans="1:22" ht="13.5" customHeight="1" x14ac:dyDescent="0.2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</row>
    <row r="644" spans="1:22" ht="13.5" customHeight="1" x14ac:dyDescent="0.2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</row>
    <row r="645" spans="1:22" ht="13.5" customHeight="1" x14ac:dyDescent="0.2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</row>
    <row r="646" spans="1:22" ht="13.5" customHeight="1" x14ac:dyDescent="0.2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</row>
    <row r="647" spans="1:22" ht="13.5" customHeight="1" x14ac:dyDescent="0.2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</row>
    <row r="648" spans="1:22" ht="13.5" customHeight="1" x14ac:dyDescent="0.2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</row>
    <row r="649" spans="1:22" ht="13.5" customHeight="1" x14ac:dyDescent="0.2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</row>
    <row r="650" spans="1:22" ht="13.5" customHeight="1" x14ac:dyDescent="0.2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</row>
    <row r="651" spans="1:22" ht="13.5" customHeight="1" x14ac:dyDescent="0.2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</row>
    <row r="652" spans="1:22" ht="13.5" customHeight="1" x14ac:dyDescent="0.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</row>
    <row r="653" spans="1:22" ht="13.5" customHeight="1" x14ac:dyDescent="0.2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</row>
    <row r="654" spans="1:22" ht="13.5" customHeight="1" x14ac:dyDescent="0.2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</row>
    <row r="655" spans="1:22" ht="13.5" customHeight="1" x14ac:dyDescent="0.2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</row>
    <row r="656" spans="1:22" ht="13.5" customHeight="1" x14ac:dyDescent="0.2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</row>
    <row r="657" spans="1:22" ht="13.5" customHeight="1" x14ac:dyDescent="0.2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</row>
    <row r="658" spans="1:22" ht="13.5" customHeight="1" x14ac:dyDescent="0.2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</row>
    <row r="659" spans="1:22" ht="13.5" customHeight="1" x14ac:dyDescent="0.2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</row>
    <row r="660" spans="1:22" ht="13.5" customHeight="1" x14ac:dyDescent="0.2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</row>
    <row r="661" spans="1:22" ht="13.5" customHeight="1" x14ac:dyDescent="0.2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</row>
    <row r="662" spans="1:22" ht="13.5" customHeight="1" x14ac:dyDescent="0.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</row>
    <row r="663" spans="1:22" ht="13.5" customHeight="1" x14ac:dyDescent="0.2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</row>
    <row r="664" spans="1:22" ht="13.5" customHeight="1" x14ac:dyDescent="0.2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</row>
    <row r="665" spans="1:22" ht="13.5" customHeight="1" x14ac:dyDescent="0.2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</row>
    <row r="666" spans="1:22" ht="13.5" customHeight="1" x14ac:dyDescent="0.2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</row>
    <row r="667" spans="1:22" ht="13.5" customHeight="1" x14ac:dyDescent="0.2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</row>
    <row r="668" spans="1:22" ht="13.5" customHeight="1" x14ac:dyDescent="0.2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</row>
    <row r="669" spans="1:22" ht="13.5" customHeight="1" x14ac:dyDescent="0.2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</row>
    <row r="670" spans="1:22" ht="13.5" customHeight="1" x14ac:dyDescent="0.2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</row>
    <row r="671" spans="1:22" ht="13.5" customHeight="1" x14ac:dyDescent="0.2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</row>
    <row r="672" spans="1:22" ht="13.5" customHeight="1" x14ac:dyDescent="0.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</row>
    <row r="673" spans="1:22" ht="13.5" customHeight="1" x14ac:dyDescent="0.2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</row>
    <row r="674" spans="1:22" ht="13.5" customHeight="1" x14ac:dyDescent="0.2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</row>
    <row r="675" spans="1:22" ht="13.5" customHeight="1" x14ac:dyDescent="0.2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</row>
    <row r="676" spans="1:22" ht="13.5" customHeight="1" x14ac:dyDescent="0.2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</row>
    <row r="677" spans="1:22" ht="13.5" customHeight="1" x14ac:dyDescent="0.2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</row>
    <row r="678" spans="1:22" ht="13.5" customHeight="1" x14ac:dyDescent="0.2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</row>
    <row r="679" spans="1:22" ht="13.5" customHeight="1" x14ac:dyDescent="0.2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</row>
    <row r="680" spans="1:22" ht="13.5" customHeight="1" x14ac:dyDescent="0.2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</row>
    <row r="681" spans="1:22" ht="13.5" customHeight="1" x14ac:dyDescent="0.2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</row>
    <row r="682" spans="1:22" ht="13.5" customHeight="1" x14ac:dyDescent="0.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</row>
    <row r="683" spans="1:22" ht="13.5" customHeight="1" x14ac:dyDescent="0.2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</row>
    <row r="684" spans="1:22" ht="13.5" customHeight="1" x14ac:dyDescent="0.2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</row>
    <row r="685" spans="1:22" ht="13.5" customHeight="1" x14ac:dyDescent="0.2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</row>
    <row r="686" spans="1:22" ht="13.5" customHeight="1" x14ac:dyDescent="0.2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</row>
    <row r="687" spans="1:22" ht="13.5" customHeight="1" x14ac:dyDescent="0.2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</row>
    <row r="688" spans="1:22" ht="13.5" customHeight="1" x14ac:dyDescent="0.2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</row>
    <row r="689" spans="1:22" ht="13.5" customHeight="1" x14ac:dyDescent="0.2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</row>
    <row r="690" spans="1:22" ht="13.5" customHeight="1" x14ac:dyDescent="0.2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</row>
    <row r="691" spans="1:22" ht="13.5" customHeight="1" x14ac:dyDescent="0.2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</row>
    <row r="692" spans="1:22" ht="13.5" customHeight="1" x14ac:dyDescent="0.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</row>
    <row r="693" spans="1:22" ht="13.5" customHeight="1" x14ac:dyDescent="0.2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</row>
    <row r="694" spans="1:22" ht="13.5" customHeight="1" x14ac:dyDescent="0.2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</row>
    <row r="695" spans="1:22" ht="13.5" customHeight="1" x14ac:dyDescent="0.2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</row>
    <row r="696" spans="1:22" ht="13.5" customHeight="1" x14ac:dyDescent="0.2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</row>
    <row r="697" spans="1:22" ht="13.5" customHeight="1" x14ac:dyDescent="0.2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</row>
    <row r="698" spans="1:22" ht="13.5" customHeight="1" x14ac:dyDescent="0.2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</row>
    <row r="699" spans="1:22" ht="13.5" customHeight="1" x14ac:dyDescent="0.2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</row>
    <row r="700" spans="1:22" ht="13.5" customHeight="1" x14ac:dyDescent="0.2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</row>
    <row r="701" spans="1:22" ht="13.5" customHeight="1" x14ac:dyDescent="0.2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</row>
    <row r="702" spans="1:22" ht="13.5" customHeight="1" x14ac:dyDescent="0.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</row>
    <row r="703" spans="1:22" ht="13.5" customHeight="1" x14ac:dyDescent="0.2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</row>
    <row r="704" spans="1:22" ht="13.5" customHeight="1" x14ac:dyDescent="0.2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</row>
    <row r="705" spans="1:22" ht="13.5" customHeight="1" x14ac:dyDescent="0.2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</row>
    <row r="706" spans="1:22" ht="13.5" customHeight="1" x14ac:dyDescent="0.2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</row>
    <row r="707" spans="1:22" ht="13.5" customHeight="1" x14ac:dyDescent="0.2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</row>
    <row r="708" spans="1:22" ht="13.5" customHeight="1" x14ac:dyDescent="0.2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</row>
    <row r="709" spans="1:22" ht="13.5" customHeight="1" x14ac:dyDescent="0.2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</row>
    <row r="710" spans="1:22" ht="13.5" customHeight="1" x14ac:dyDescent="0.2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</row>
    <row r="711" spans="1:22" ht="13.5" customHeight="1" x14ac:dyDescent="0.2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</row>
    <row r="712" spans="1:22" ht="13.5" customHeight="1" x14ac:dyDescent="0.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</row>
    <row r="713" spans="1:22" ht="13.5" customHeight="1" x14ac:dyDescent="0.2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</row>
    <row r="714" spans="1:22" ht="13.5" customHeight="1" x14ac:dyDescent="0.2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</row>
    <row r="715" spans="1:22" ht="13.5" customHeight="1" x14ac:dyDescent="0.2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</row>
    <row r="716" spans="1:22" ht="13.5" customHeight="1" x14ac:dyDescent="0.2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</row>
    <row r="717" spans="1:22" ht="13.5" customHeight="1" x14ac:dyDescent="0.2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</row>
    <row r="718" spans="1:22" ht="13.5" customHeight="1" x14ac:dyDescent="0.2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</row>
    <row r="719" spans="1:22" ht="13.5" customHeight="1" x14ac:dyDescent="0.2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</row>
    <row r="720" spans="1:22" ht="13.5" customHeight="1" x14ac:dyDescent="0.2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</row>
    <row r="721" spans="1:22" ht="13.5" customHeight="1" x14ac:dyDescent="0.2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</row>
    <row r="722" spans="1:22" ht="13.5" customHeight="1" x14ac:dyDescent="0.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</row>
    <row r="723" spans="1:22" ht="13.5" customHeight="1" x14ac:dyDescent="0.2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</row>
    <row r="724" spans="1:22" ht="13.5" customHeight="1" x14ac:dyDescent="0.2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</row>
    <row r="725" spans="1:22" ht="13.5" customHeight="1" x14ac:dyDescent="0.2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</row>
    <row r="726" spans="1:22" ht="13.5" customHeight="1" x14ac:dyDescent="0.2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</row>
    <row r="727" spans="1:22" ht="13.5" customHeight="1" x14ac:dyDescent="0.2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</row>
    <row r="728" spans="1:22" ht="13.5" customHeight="1" x14ac:dyDescent="0.2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</row>
    <row r="729" spans="1:22" ht="13.5" customHeight="1" x14ac:dyDescent="0.2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</row>
    <row r="730" spans="1:22" ht="13.5" customHeight="1" x14ac:dyDescent="0.2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</row>
    <row r="731" spans="1:22" ht="13.5" customHeight="1" x14ac:dyDescent="0.2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</row>
    <row r="732" spans="1:22" ht="13.5" customHeight="1" x14ac:dyDescent="0.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</row>
    <row r="733" spans="1:22" ht="13.5" customHeight="1" x14ac:dyDescent="0.2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</row>
    <row r="734" spans="1:22" ht="13.5" customHeight="1" x14ac:dyDescent="0.2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</row>
    <row r="735" spans="1:22" ht="13.5" customHeight="1" x14ac:dyDescent="0.2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</row>
    <row r="736" spans="1:22" ht="13.5" customHeight="1" x14ac:dyDescent="0.2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</row>
    <row r="737" spans="1:22" ht="13.5" customHeight="1" x14ac:dyDescent="0.2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</row>
    <row r="738" spans="1:22" ht="13.5" customHeight="1" x14ac:dyDescent="0.2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</row>
    <row r="739" spans="1:22" ht="13.5" customHeight="1" x14ac:dyDescent="0.2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</row>
    <row r="740" spans="1:22" ht="13.5" customHeight="1" x14ac:dyDescent="0.2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</row>
    <row r="741" spans="1:22" ht="13.5" customHeight="1" x14ac:dyDescent="0.2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</row>
    <row r="742" spans="1:22" ht="13.5" customHeight="1" x14ac:dyDescent="0.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</row>
    <row r="743" spans="1:22" ht="13.5" customHeight="1" x14ac:dyDescent="0.2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</row>
    <row r="744" spans="1:22" ht="13.5" customHeight="1" x14ac:dyDescent="0.2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</row>
    <row r="745" spans="1:22" ht="13.5" customHeight="1" x14ac:dyDescent="0.2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</row>
    <row r="746" spans="1:22" ht="13.5" customHeight="1" x14ac:dyDescent="0.2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</row>
    <row r="747" spans="1:22" ht="13.5" customHeight="1" x14ac:dyDescent="0.2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</row>
    <row r="748" spans="1:22" ht="13.5" customHeight="1" x14ac:dyDescent="0.2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</row>
    <row r="749" spans="1:22" ht="13.5" customHeight="1" x14ac:dyDescent="0.2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</row>
    <row r="750" spans="1:22" ht="13.5" customHeight="1" x14ac:dyDescent="0.2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</row>
    <row r="751" spans="1:22" ht="13.5" customHeight="1" x14ac:dyDescent="0.2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</row>
    <row r="752" spans="1:22" ht="13.5" customHeight="1" x14ac:dyDescent="0.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</row>
    <row r="753" spans="1:22" ht="13.5" customHeight="1" x14ac:dyDescent="0.2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</row>
    <row r="754" spans="1:22" ht="13.5" customHeight="1" x14ac:dyDescent="0.2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</row>
    <row r="755" spans="1:22" ht="13.5" customHeight="1" x14ac:dyDescent="0.2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</row>
    <row r="756" spans="1:22" ht="13.5" customHeight="1" x14ac:dyDescent="0.2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</row>
    <row r="757" spans="1:22" ht="13.5" customHeight="1" x14ac:dyDescent="0.2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</row>
    <row r="758" spans="1:22" ht="13.5" customHeight="1" x14ac:dyDescent="0.2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</row>
    <row r="759" spans="1:22" ht="13.5" customHeight="1" x14ac:dyDescent="0.2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</row>
    <row r="760" spans="1:22" ht="13.5" customHeight="1" x14ac:dyDescent="0.2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</row>
    <row r="761" spans="1:22" ht="13.5" customHeight="1" x14ac:dyDescent="0.2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</row>
    <row r="762" spans="1:22" ht="13.5" customHeight="1" x14ac:dyDescent="0.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</row>
    <row r="763" spans="1:22" ht="13.5" customHeight="1" x14ac:dyDescent="0.2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</row>
    <row r="764" spans="1:22" ht="13.5" customHeight="1" x14ac:dyDescent="0.2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</row>
    <row r="765" spans="1:22" ht="13.5" customHeight="1" x14ac:dyDescent="0.2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</row>
    <row r="766" spans="1:22" ht="13.5" customHeight="1" x14ac:dyDescent="0.2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</row>
    <row r="767" spans="1:22" ht="13.5" customHeight="1" x14ac:dyDescent="0.2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</row>
    <row r="768" spans="1:22" ht="13.5" customHeight="1" x14ac:dyDescent="0.2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</row>
    <row r="769" spans="1:22" ht="13.5" customHeight="1" x14ac:dyDescent="0.2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</row>
    <row r="770" spans="1:22" ht="13.5" customHeight="1" x14ac:dyDescent="0.2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</row>
    <row r="771" spans="1:22" ht="13.5" customHeight="1" x14ac:dyDescent="0.2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</row>
    <row r="772" spans="1:22" ht="13.5" customHeight="1" x14ac:dyDescent="0.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</row>
    <row r="773" spans="1:22" ht="13.5" customHeight="1" x14ac:dyDescent="0.2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</row>
    <row r="774" spans="1:22" ht="13.5" customHeight="1" x14ac:dyDescent="0.2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</row>
    <row r="775" spans="1:22" ht="13.5" customHeight="1" x14ac:dyDescent="0.2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</row>
    <row r="776" spans="1:22" ht="13.5" customHeight="1" x14ac:dyDescent="0.2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</row>
    <row r="777" spans="1:22" ht="13.5" customHeight="1" x14ac:dyDescent="0.2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</row>
    <row r="778" spans="1:22" ht="13.5" customHeight="1" x14ac:dyDescent="0.2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</row>
    <row r="779" spans="1:22" ht="13.5" customHeight="1" x14ac:dyDescent="0.2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</row>
    <row r="780" spans="1:22" ht="13.5" customHeight="1" x14ac:dyDescent="0.2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</row>
    <row r="781" spans="1:22" ht="13.5" customHeight="1" x14ac:dyDescent="0.2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</row>
    <row r="782" spans="1:22" ht="13.5" customHeight="1" x14ac:dyDescent="0.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</row>
    <row r="783" spans="1:22" ht="13.5" customHeight="1" x14ac:dyDescent="0.2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</row>
    <row r="784" spans="1:22" ht="13.5" customHeight="1" x14ac:dyDescent="0.2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</row>
    <row r="785" spans="1:22" ht="13.5" customHeight="1" x14ac:dyDescent="0.2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</row>
    <row r="786" spans="1:22" ht="13.5" customHeight="1" x14ac:dyDescent="0.2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</row>
    <row r="787" spans="1:22" ht="13.5" customHeight="1" x14ac:dyDescent="0.2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</row>
    <row r="788" spans="1:22" ht="13.5" customHeight="1" x14ac:dyDescent="0.2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</row>
    <row r="789" spans="1:22" ht="13.5" customHeight="1" x14ac:dyDescent="0.2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</row>
    <row r="790" spans="1:22" ht="13.5" customHeight="1" x14ac:dyDescent="0.2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</row>
    <row r="791" spans="1:22" ht="13.5" customHeight="1" x14ac:dyDescent="0.2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</row>
    <row r="792" spans="1:22" ht="13.5" customHeight="1" x14ac:dyDescent="0.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</row>
    <row r="793" spans="1:22" ht="13.5" customHeight="1" x14ac:dyDescent="0.2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</row>
    <row r="794" spans="1:22" ht="13.5" customHeight="1" x14ac:dyDescent="0.2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</row>
    <row r="795" spans="1:22" ht="13.5" customHeight="1" x14ac:dyDescent="0.2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</row>
    <row r="796" spans="1:22" ht="13.5" customHeight="1" x14ac:dyDescent="0.2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</row>
    <row r="797" spans="1:22" ht="13.5" customHeight="1" x14ac:dyDescent="0.2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</row>
    <row r="798" spans="1:22" ht="13.5" customHeight="1" x14ac:dyDescent="0.2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</row>
    <row r="799" spans="1:22" ht="13.5" customHeight="1" x14ac:dyDescent="0.2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</row>
    <row r="800" spans="1:22" ht="13.5" customHeight="1" x14ac:dyDescent="0.2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</row>
    <row r="801" spans="1:22" ht="13.5" customHeight="1" x14ac:dyDescent="0.2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</row>
    <row r="802" spans="1:22" ht="13.5" customHeight="1" x14ac:dyDescent="0.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</row>
    <row r="803" spans="1:22" ht="13.5" customHeight="1" x14ac:dyDescent="0.2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</row>
    <row r="804" spans="1:22" ht="13.5" customHeight="1" x14ac:dyDescent="0.2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</row>
    <row r="805" spans="1:22" ht="13.5" customHeight="1" x14ac:dyDescent="0.2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</row>
    <row r="806" spans="1:22" ht="13.5" customHeight="1" x14ac:dyDescent="0.2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</row>
    <row r="807" spans="1:22" ht="13.5" customHeight="1" x14ac:dyDescent="0.2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</row>
    <row r="808" spans="1:22" ht="13.5" customHeight="1" x14ac:dyDescent="0.2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</row>
    <row r="809" spans="1:22" ht="13.5" customHeight="1" x14ac:dyDescent="0.2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</row>
    <row r="810" spans="1:22" ht="13.5" customHeight="1" x14ac:dyDescent="0.2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</row>
    <row r="811" spans="1:22" ht="13.5" customHeight="1" x14ac:dyDescent="0.2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</row>
    <row r="812" spans="1:22" ht="13.5" customHeight="1" x14ac:dyDescent="0.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</row>
    <row r="813" spans="1:22" ht="13.5" customHeight="1" x14ac:dyDescent="0.2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</row>
    <row r="814" spans="1:22" ht="13.5" customHeight="1" x14ac:dyDescent="0.2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</row>
    <row r="815" spans="1:22" ht="13.5" customHeight="1" x14ac:dyDescent="0.2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</row>
    <row r="816" spans="1:22" ht="13.5" customHeight="1" x14ac:dyDescent="0.2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</row>
    <row r="817" spans="1:22" ht="13.5" customHeight="1" x14ac:dyDescent="0.2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</row>
    <row r="818" spans="1:22" ht="13.5" customHeight="1" x14ac:dyDescent="0.2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</row>
    <row r="819" spans="1:22" ht="13.5" customHeight="1" x14ac:dyDescent="0.2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</row>
    <row r="820" spans="1:22" ht="13.5" customHeight="1" x14ac:dyDescent="0.2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</row>
    <row r="821" spans="1:22" ht="13.5" customHeight="1" x14ac:dyDescent="0.2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</row>
    <row r="822" spans="1:22" ht="13.5" customHeight="1" x14ac:dyDescent="0.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</row>
    <row r="823" spans="1:22" ht="13.5" customHeight="1" x14ac:dyDescent="0.2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</row>
    <row r="824" spans="1:22" ht="13.5" customHeight="1" x14ac:dyDescent="0.2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</row>
    <row r="825" spans="1:22" ht="13.5" customHeight="1" x14ac:dyDescent="0.2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</row>
    <row r="826" spans="1:22" ht="13.5" customHeight="1" x14ac:dyDescent="0.2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</row>
    <row r="827" spans="1:22" ht="13.5" customHeight="1" x14ac:dyDescent="0.2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</row>
    <row r="828" spans="1:22" ht="13.5" customHeight="1" x14ac:dyDescent="0.2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</row>
    <row r="829" spans="1:22" ht="13.5" customHeight="1" x14ac:dyDescent="0.2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</row>
    <row r="830" spans="1:22" ht="13.5" customHeight="1" x14ac:dyDescent="0.2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</row>
    <row r="831" spans="1:22" ht="13.5" customHeight="1" x14ac:dyDescent="0.2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</row>
    <row r="832" spans="1:22" ht="13.5" customHeight="1" x14ac:dyDescent="0.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</row>
    <row r="833" spans="1:22" ht="13.5" customHeight="1" x14ac:dyDescent="0.2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</row>
    <row r="834" spans="1:22" ht="13.5" customHeight="1" x14ac:dyDescent="0.2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</row>
    <row r="835" spans="1:22" ht="13.5" customHeight="1" x14ac:dyDescent="0.2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</row>
    <row r="836" spans="1:22" ht="13.5" customHeight="1" x14ac:dyDescent="0.2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</row>
    <row r="837" spans="1:22" ht="13.5" customHeight="1" x14ac:dyDescent="0.2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</row>
    <row r="838" spans="1:22" ht="13.5" customHeight="1" x14ac:dyDescent="0.2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</row>
    <row r="839" spans="1:22" ht="13.5" customHeight="1" x14ac:dyDescent="0.2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</row>
    <row r="840" spans="1:22" ht="13.5" customHeight="1" x14ac:dyDescent="0.2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</row>
    <row r="841" spans="1:22" ht="13.5" customHeight="1" x14ac:dyDescent="0.2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</row>
    <row r="842" spans="1:22" ht="13.5" customHeight="1" x14ac:dyDescent="0.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</row>
    <row r="843" spans="1:22" ht="13.5" customHeight="1" x14ac:dyDescent="0.2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</row>
    <row r="844" spans="1:22" ht="13.5" customHeight="1" x14ac:dyDescent="0.2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</row>
    <row r="845" spans="1:22" ht="13.5" customHeight="1" x14ac:dyDescent="0.2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</row>
    <row r="846" spans="1:22" ht="13.5" customHeight="1" x14ac:dyDescent="0.2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</row>
    <row r="847" spans="1:22" ht="13.5" customHeight="1" x14ac:dyDescent="0.2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</row>
    <row r="848" spans="1:22" ht="13.5" customHeight="1" x14ac:dyDescent="0.2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</row>
    <row r="849" spans="1:22" ht="13.5" customHeight="1" x14ac:dyDescent="0.2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</row>
    <row r="850" spans="1:22" ht="13.5" customHeight="1" x14ac:dyDescent="0.2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</row>
    <row r="851" spans="1:22" ht="13.5" customHeight="1" x14ac:dyDescent="0.2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</row>
    <row r="852" spans="1:22" ht="13.5" customHeight="1" x14ac:dyDescent="0.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</row>
    <row r="853" spans="1:22" ht="13.5" customHeight="1" x14ac:dyDescent="0.2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</row>
    <row r="854" spans="1:22" ht="13.5" customHeight="1" x14ac:dyDescent="0.2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</row>
    <row r="855" spans="1:22" ht="13.5" customHeight="1" x14ac:dyDescent="0.2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</row>
    <row r="856" spans="1:22" ht="13.5" customHeight="1" x14ac:dyDescent="0.2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</row>
    <row r="857" spans="1:22" ht="13.5" customHeight="1" x14ac:dyDescent="0.2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</row>
    <row r="858" spans="1:22" ht="13.5" customHeight="1" x14ac:dyDescent="0.2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</row>
    <row r="859" spans="1:22" ht="13.5" customHeight="1" x14ac:dyDescent="0.2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</row>
    <row r="860" spans="1:22" ht="13.5" customHeight="1" x14ac:dyDescent="0.2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</row>
    <row r="861" spans="1:22" ht="13.5" customHeight="1" x14ac:dyDescent="0.2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</row>
    <row r="862" spans="1:22" ht="13.5" customHeight="1" x14ac:dyDescent="0.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</row>
    <row r="863" spans="1:22" ht="13.5" customHeight="1" x14ac:dyDescent="0.2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</row>
    <row r="864" spans="1:22" ht="13.5" customHeight="1" x14ac:dyDescent="0.2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</row>
    <row r="865" spans="1:22" ht="13.5" customHeight="1" x14ac:dyDescent="0.2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</row>
    <row r="866" spans="1:22" ht="13.5" customHeight="1" x14ac:dyDescent="0.2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</row>
    <row r="867" spans="1:22" ht="13.5" customHeight="1" x14ac:dyDescent="0.2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</row>
    <row r="868" spans="1:22" ht="13.5" customHeight="1" x14ac:dyDescent="0.2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</row>
    <row r="869" spans="1:22" ht="13.5" customHeight="1" x14ac:dyDescent="0.2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</row>
    <row r="870" spans="1:22" ht="13.5" customHeight="1" x14ac:dyDescent="0.2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</row>
    <row r="871" spans="1:22" ht="13.5" customHeight="1" x14ac:dyDescent="0.2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</row>
    <row r="872" spans="1:22" ht="13.5" customHeight="1" x14ac:dyDescent="0.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</row>
    <row r="873" spans="1:22" ht="13.5" customHeight="1" x14ac:dyDescent="0.2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</row>
    <row r="874" spans="1:22" ht="13.5" customHeight="1" x14ac:dyDescent="0.2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</row>
    <row r="875" spans="1:22" ht="13.5" customHeight="1" x14ac:dyDescent="0.2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</row>
    <row r="876" spans="1:22" ht="13.5" customHeight="1" x14ac:dyDescent="0.2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</row>
    <row r="877" spans="1:22" ht="13.5" customHeight="1" x14ac:dyDescent="0.2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</row>
    <row r="878" spans="1:22" ht="13.5" customHeight="1" x14ac:dyDescent="0.2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</row>
    <row r="879" spans="1:22" ht="13.5" customHeight="1" x14ac:dyDescent="0.2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</row>
    <row r="880" spans="1:22" ht="13.5" customHeight="1" x14ac:dyDescent="0.2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</row>
    <row r="881" spans="1:22" ht="13.5" customHeight="1" x14ac:dyDescent="0.2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</row>
    <row r="882" spans="1:22" ht="13.5" customHeight="1" x14ac:dyDescent="0.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</row>
    <row r="883" spans="1:22" ht="13.5" customHeight="1" x14ac:dyDescent="0.2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</row>
    <row r="884" spans="1:22" ht="13.5" customHeight="1" x14ac:dyDescent="0.2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</row>
    <row r="885" spans="1:22" ht="13.5" customHeight="1" x14ac:dyDescent="0.2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</row>
    <row r="886" spans="1:22" ht="13.5" customHeight="1" x14ac:dyDescent="0.2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</row>
    <row r="887" spans="1:22" ht="13.5" customHeight="1" x14ac:dyDescent="0.2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</row>
    <row r="888" spans="1:22" ht="13.5" customHeight="1" x14ac:dyDescent="0.2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</row>
    <row r="889" spans="1:22" ht="13.5" customHeight="1" x14ac:dyDescent="0.2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</row>
    <row r="890" spans="1:22" ht="13.5" customHeight="1" x14ac:dyDescent="0.2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</row>
    <row r="891" spans="1:22" ht="13.5" customHeight="1" x14ac:dyDescent="0.2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</row>
    <row r="892" spans="1:22" ht="13.5" customHeight="1" x14ac:dyDescent="0.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</row>
    <row r="893" spans="1:22" ht="13.5" customHeight="1" x14ac:dyDescent="0.2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</row>
    <row r="894" spans="1:22" ht="13.5" customHeight="1" x14ac:dyDescent="0.2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</row>
    <row r="895" spans="1:22" ht="13.5" customHeight="1" x14ac:dyDescent="0.2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</row>
    <row r="896" spans="1:22" ht="13.5" customHeight="1" x14ac:dyDescent="0.2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</row>
    <row r="897" spans="1:22" ht="13.5" customHeight="1" x14ac:dyDescent="0.2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</row>
    <row r="898" spans="1:22" ht="13.5" customHeight="1" x14ac:dyDescent="0.2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</row>
    <row r="899" spans="1:22" ht="13.5" customHeight="1" x14ac:dyDescent="0.2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</row>
    <row r="900" spans="1:22" ht="13.5" customHeight="1" x14ac:dyDescent="0.2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</row>
    <row r="901" spans="1:22" ht="13.5" customHeight="1" x14ac:dyDescent="0.2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</row>
    <row r="902" spans="1:22" ht="13.5" customHeight="1" x14ac:dyDescent="0.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</row>
    <row r="903" spans="1:22" ht="13.5" customHeight="1" x14ac:dyDescent="0.2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</row>
    <row r="904" spans="1:22" ht="13.5" customHeight="1" x14ac:dyDescent="0.2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</row>
    <row r="905" spans="1:22" ht="13.5" customHeight="1" x14ac:dyDescent="0.2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</row>
    <row r="906" spans="1:22" ht="13.5" customHeight="1" x14ac:dyDescent="0.2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</row>
    <row r="907" spans="1:22" ht="13.5" customHeight="1" x14ac:dyDescent="0.2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</row>
    <row r="908" spans="1:22" ht="13.5" customHeight="1" x14ac:dyDescent="0.2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</row>
    <row r="909" spans="1:22" ht="13.5" customHeight="1" x14ac:dyDescent="0.2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</row>
    <row r="910" spans="1:22" ht="13.5" customHeight="1" x14ac:dyDescent="0.2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</row>
    <row r="911" spans="1:22" ht="13.5" customHeight="1" x14ac:dyDescent="0.2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</row>
    <row r="912" spans="1:22" ht="13.5" customHeight="1" x14ac:dyDescent="0.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</row>
    <row r="913" spans="1:22" ht="13.5" customHeight="1" x14ac:dyDescent="0.2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</row>
    <row r="914" spans="1:22" ht="13.5" customHeight="1" x14ac:dyDescent="0.2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</row>
    <row r="915" spans="1:22" ht="13.5" customHeight="1" x14ac:dyDescent="0.2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</row>
    <row r="916" spans="1:22" ht="13.5" customHeight="1" x14ac:dyDescent="0.2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</row>
    <row r="917" spans="1:22" ht="13.5" customHeight="1" x14ac:dyDescent="0.2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</row>
    <row r="918" spans="1:22" ht="13.5" customHeight="1" x14ac:dyDescent="0.2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</row>
    <row r="919" spans="1:22" ht="13.5" customHeight="1" x14ac:dyDescent="0.2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</row>
    <row r="920" spans="1:22" ht="13.5" customHeight="1" x14ac:dyDescent="0.2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</row>
    <row r="921" spans="1:22" ht="13.5" customHeight="1" x14ac:dyDescent="0.2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</row>
    <row r="922" spans="1:22" ht="13.5" customHeight="1" x14ac:dyDescent="0.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</row>
    <row r="923" spans="1:22" ht="13.5" customHeight="1" x14ac:dyDescent="0.2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</row>
    <row r="924" spans="1:22" ht="13.5" customHeight="1" x14ac:dyDescent="0.2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</row>
    <row r="925" spans="1:22" ht="13.5" customHeight="1" x14ac:dyDescent="0.2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</row>
    <row r="926" spans="1:22" ht="13.5" customHeight="1" x14ac:dyDescent="0.2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</row>
    <row r="927" spans="1:22" ht="13.5" customHeight="1" x14ac:dyDescent="0.2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</row>
    <row r="928" spans="1:22" ht="13.5" customHeight="1" x14ac:dyDescent="0.2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</row>
    <row r="929" spans="1:22" ht="13.5" customHeight="1" x14ac:dyDescent="0.2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</row>
    <row r="930" spans="1:22" ht="13.5" customHeight="1" x14ac:dyDescent="0.2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</row>
    <row r="931" spans="1:22" ht="13.5" customHeight="1" x14ac:dyDescent="0.2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</row>
    <row r="932" spans="1:22" ht="13.5" customHeight="1" x14ac:dyDescent="0.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</row>
    <row r="933" spans="1:22" ht="13.5" customHeight="1" x14ac:dyDescent="0.2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</row>
    <row r="934" spans="1:22" ht="13.5" customHeight="1" x14ac:dyDescent="0.2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</row>
    <row r="935" spans="1:22" ht="13.5" customHeight="1" x14ac:dyDescent="0.2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</row>
    <row r="936" spans="1:22" ht="13.5" customHeight="1" x14ac:dyDescent="0.2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</row>
    <row r="937" spans="1:22" ht="13.5" customHeight="1" x14ac:dyDescent="0.2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</row>
    <row r="938" spans="1:22" ht="13.5" customHeight="1" x14ac:dyDescent="0.2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</row>
    <row r="939" spans="1:22" ht="13.5" customHeight="1" x14ac:dyDescent="0.2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</row>
    <row r="940" spans="1:22" ht="13.5" customHeight="1" x14ac:dyDescent="0.2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</row>
    <row r="941" spans="1:22" ht="13.5" customHeight="1" x14ac:dyDescent="0.2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</row>
    <row r="942" spans="1:22" ht="13.5" customHeight="1" x14ac:dyDescent="0.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</row>
    <row r="943" spans="1:22" ht="13.5" customHeight="1" x14ac:dyDescent="0.2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</row>
    <row r="944" spans="1:22" ht="13.5" customHeight="1" x14ac:dyDescent="0.2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</row>
    <row r="945" spans="1:22" ht="13.5" customHeight="1" x14ac:dyDescent="0.2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</row>
    <row r="946" spans="1:22" ht="13.5" customHeight="1" x14ac:dyDescent="0.2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</row>
    <row r="947" spans="1:22" ht="13.5" customHeight="1" x14ac:dyDescent="0.2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</row>
    <row r="948" spans="1:22" ht="13.5" customHeight="1" x14ac:dyDescent="0.2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</row>
    <row r="949" spans="1:22" ht="13.5" customHeight="1" x14ac:dyDescent="0.2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</row>
    <row r="950" spans="1:22" ht="13.5" customHeight="1" x14ac:dyDescent="0.2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</row>
    <row r="951" spans="1:22" ht="13.5" customHeight="1" x14ac:dyDescent="0.2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</row>
    <row r="952" spans="1:22" ht="13.5" customHeight="1" x14ac:dyDescent="0.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</row>
    <row r="953" spans="1:22" ht="13.5" customHeight="1" x14ac:dyDescent="0.2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</row>
    <row r="954" spans="1:22" ht="13.5" customHeight="1" x14ac:dyDescent="0.2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</row>
    <row r="955" spans="1:22" ht="13.5" customHeight="1" x14ac:dyDescent="0.2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</row>
    <row r="956" spans="1:22" ht="13.5" customHeight="1" x14ac:dyDescent="0.2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</row>
    <row r="957" spans="1:22" ht="13.5" customHeight="1" x14ac:dyDescent="0.2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</row>
    <row r="958" spans="1:22" ht="13.5" customHeight="1" x14ac:dyDescent="0.2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</row>
    <row r="959" spans="1:22" ht="13.5" customHeight="1" x14ac:dyDescent="0.2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</row>
    <row r="960" spans="1:22" ht="13.5" customHeight="1" x14ac:dyDescent="0.2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</row>
    <row r="961" spans="1:22" ht="13.5" customHeight="1" x14ac:dyDescent="0.2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</row>
    <row r="962" spans="1:22" ht="13.5" customHeight="1" x14ac:dyDescent="0.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</row>
    <row r="963" spans="1:22" ht="13.5" customHeight="1" x14ac:dyDescent="0.2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</row>
    <row r="964" spans="1:22" ht="13.5" customHeight="1" x14ac:dyDescent="0.2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</row>
    <row r="965" spans="1:22" ht="13.5" customHeight="1" x14ac:dyDescent="0.2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</row>
    <row r="966" spans="1:22" ht="13.5" customHeight="1" x14ac:dyDescent="0.2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</row>
    <row r="967" spans="1:22" ht="13.5" customHeight="1" x14ac:dyDescent="0.2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</row>
    <row r="968" spans="1:22" ht="13.5" customHeight="1" x14ac:dyDescent="0.2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</row>
    <row r="969" spans="1:22" ht="13.5" customHeight="1" x14ac:dyDescent="0.2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</row>
    <row r="970" spans="1:22" ht="13.5" customHeight="1" x14ac:dyDescent="0.2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</row>
    <row r="971" spans="1:22" ht="13.5" customHeight="1" x14ac:dyDescent="0.2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</row>
    <row r="972" spans="1:22" ht="13.5" customHeight="1" x14ac:dyDescent="0.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</row>
    <row r="973" spans="1:22" ht="13.5" customHeight="1" x14ac:dyDescent="0.2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</row>
    <row r="974" spans="1:22" ht="13.5" customHeight="1" x14ac:dyDescent="0.2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</row>
    <row r="975" spans="1:22" ht="13.5" customHeight="1" x14ac:dyDescent="0.2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</row>
    <row r="976" spans="1:22" ht="13.5" customHeight="1" x14ac:dyDescent="0.2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</row>
    <row r="977" spans="1:22" ht="13.5" customHeight="1" x14ac:dyDescent="0.2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</row>
    <row r="978" spans="1:22" ht="13.5" customHeight="1" x14ac:dyDescent="0.2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</row>
    <row r="979" spans="1:22" ht="13.5" customHeight="1" x14ac:dyDescent="0.2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</row>
    <row r="980" spans="1:22" ht="13.5" customHeight="1" x14ac:dyDescent="0.2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</row>
    <row r="981" spans="1:22" ht="13.5" customHeight="1" x14ac:dyDescent="0.2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</row>
    <row r="982" spans="1:22" ht="13.5" customHeight="1" x14ac:dyDescent="0.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</row>
    <row r="983" spans="1:22" ht="13.5" customHeight="1" x14ac:dyDescent="0.2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</row>
    <row r="984" spans="1:22" ht="13.5" customHeight="1" x14ac:dyDescent="0.2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</row>
    <row r="985" spans="1:22" ht="13.5" customHeight="1" x14ac:dyDescent="0.2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</row>
    <row r="986" spans="1:22" ht="13.5" customHeight="1" x14ac:dyDescent="0.2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</row>
    <row r="987" spans="1:22" ht="13.5" customHeight="1" x14ac:dyDescent="0.2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</row>
    <row r="988" spans="1:22" ht="13.5" customHeight="1" x14ac:dyDescent="0.2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</row>
    <row r="989" spans="1:22" ht="13.5" customHeight="1" x14ac:dyDescent="0.2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</row>
    <row r="990" spans="1:22" ht="13.5" customHeight="1" x14ac:dyDescent="0.2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</row>
    <row r="991" spans="1:22" ht="13.5" customHeight="1" x14ac:dyDescent="0.2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</row>
    <row r="992" spans="1:22" ht="13.5" customHeight="1" x14ac:dyDescent="0.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</row>
    <row r="993" spans="1:22" ht="13.5" customHeight="1" x14ac:dyDescent="0.2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</row>
    <row r="994" spans="1:22" ht="13.5" customHeight="1" x14ac:dyDescent="0.2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</row>
    <row r="995" spans="1:22" ht="13.5" customHeight="1" x14ac:dyDescent="0.2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</row>
    <row r="996" spans="1:22" ht="13.5" customHeight="1" x14ac:dyDescent="0.2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</row>
    <row r="997" spans="1:22" ht="13.5" customHeight="1" x14ac:dyDescent="0.2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</row>
    <row r="998" spans="1:22" ht="13.5" customHeight="1" x14ac:dyDescent="0.2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</row>
    <row r="999" spans="1:22" ht="13.5" customHeight="1" x14ac:dyDescent="0.2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</row>
    <row r="1000" spans="1:22" ht="13.5" customHeight="1" x14ac:dyDescent="0.2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</row>
  </sheetData>
  <mergeCells count="1">
    <mergeCell ref="B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40"/>
  <sheetViews>
    <sheetView tabSelected="1" workbookViewId="0">
      <selection activeCell="I4" sqref="I4"/>
    </sheetView>
  </sheetViews>
  <sheetFormatPr baseColWidth="10" defaultColWidth="12.7109375" defaultRowHeight="15" customHeight="1" x14ac:dyDescent="0.2"/>
  <cols>
    <col min="1" max="1" width="8.5703125" customWidth="1"/>
    <col min="2" max="2" width="115.5703125" bestFit="1" customWidth="1"/>
    <col min="3" max="4" width="14.5703125" hidden="1" customWidth="1"/>
    <col min="5" max="5" width="14.5703125" bestFit="1" customWidth="1"/>
    <col min="6" max="6" width="2" customWidth="1"/>
    <col min="7" max="22" width="11.42578125" customWidth="1"/>
  </cols>
  <sheetData>
    <row r="1" spans="1:22" ht="12.75" customHeight="1" x14ac:dyDescent="0.2">
      <c r="A1" s="65"/>
      <c r="B1" s="65"/>
      <c r="C1" s="65"/>
      <c r="D1" s="125">
        <v>2.5000000000000001E-2</v>
      </c>
      <c r="E1" s="125">
        <v>2.4E-2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2" ht="12.75" customHeight="1" x14ac:dyDescent="0.2">
      <c r="A2" s="87" t="s">
        <v>19</v>
      </c>
      <c r="B2" s="88"/>
      <c r="C2" s="88"/>
      <c r="D2" s="88"/>
      <c r="E2" s="88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</row>
    <row r="3" spans="1:22" ht="12.75" customHeight="1" x14ac:dyDescent="0.25">
      <c r="A3" s="89"/>
      <c r="B3" s="89"/>
      <c r="C3" s="90">
        <v>45992</v>
      </c>
      <c r="D3" s="90">
        <v>46023</v>
      </c>
      <c r="E3" s="90">
        <v>46054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1:22" ht="12.75" customHeight="1" x14ac:dyDescent="0.25">
      <c r="A4" s="91" t="s">
        <v>543</v>
      </c>
      <c r="B4" s="91" t="s">
        <v>544</v>
      </c>
      <c r="C4" s="92" t="s">
        <v>545</v>
      </c>
      <c r="D4" s="92" t="s">
        <v>545</v>
      </c>
      <c r="E4" s="92" t="s">
        <v>545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</row>
    <row r="5" spans="1:22" ht="12.75" customHeight="1" x14ac:dyDescent="0.2">
      <c r="A5" s="89">
        <v>1100101</v>
      </c>
      <c r="B5" s="93" t="s">
        <v>546</v>
      </c>
      <c r="C5" s="116">
        <v>1735486.0187313298</v>
      </c>
      <c r="D5" s="71">
        <f>IFERROR(C5*(1+$D$1),C5)</f>
        <v>1778873.1691996129</v>
      </c>
      <c r="E5" s="71">
        <f>IFERROR(D5*(1+$E$1),D5)</f>
        <v>1821566.1252604036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</row>
    <row r="6" spans="1:22" ht="12.75" customHeight="1" x14ac:dyDescent="0.2">
      <c r="A6" s="89">
        <v>1100102</v>
      </c>
      <c r="B6" s="93" t="s">
        <v>547</v>
      </c>
      <c r="C6" s="116">
        <v>1884656.4989010359</v>
      </c>
      <c r="D6" s="71">
        <f t="shared" ref="D6:D69" si="0">IFERROR(C6*(1+$D$1),C6)</f>
        <v>1931772.9113735617</v>
      </c>
      <c r="E6" s="71">
        <f t="shared" ref="E6:E69" si="1">IFERROR(D6*(1+$E$1),D6)</f>
        <v>1978135.4612465273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</row>
    <row r="7" spans="1:22" ht="12.75" customHeight="1" x14ac:dyDescent="0.2">
      <c r="A7" s="89">
        <v>1100103</v>
      </c>
      <c r="B7" s="93" t="s">
        <v>548</v>
      </c>
      <c r="C7" s="116">
        <v>2341102.3930570446</v>
      </c>
      <c r="D7" s="71">
        <f t="shared" si="0"/>
        <v>2399629.9528834703</v>
      </c>
      <c r="E7" s="71">
        <f t="shared" si="1"/>
        <v>2457221.0717526735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</row>
    <row r="8" spans="1:22" ht="12.75" customHeight="1" x14ac:dyDescent="0.2">
      <c r="A8" s="89">
        <v>1100104</v>
      </c>
      <c r="B8" s="93" t="s">
        <v>549</v>
      </c>
      <c r="C8" s="116">
        <v>1274659.9483693789</v>
      </c>
      <c r="D8" s="71">
        <f t="shared" si="0"/>
        <v>1306526.4470786133</v>
      </c>
      <c r="E8" s="71">
        <f t="shared" si="1"/>
        <v>1337883.0818085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</row>
    <row r="9" spans="1:22" ht="12.75" customHeight="1" x14ac:dyDescent="0.2">
      <c r="A9" s="89">
        <v>1100107</v>
      </c>
      <c r="B9" s="93" t="s">
        <v>550</v>
      </c>
      <c r="C9" s="116">
        <v>1212407.6999599864</v>
      </c>
      <c r="D9" s="71">
        <f t="shared" si="0"/>
        <v>1242717.892458986</v>
      </c>
      <c r="E9" s="71">
        <f t="shared" si="1"/>
        <v>1272543.1218780016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</row>
    <row r="10" spans="1:22" ht="12.75" customHeight="1" x14ac:dyDescent="0.2">
      <c r="A10" s="89">
        <v>1100108</v>
      </c>
      <c r="B10" s="93" t="s">
        <v>551</v>
      </c>
      <c r="C10" s="116">
        <v>1501352.1187844046</v>
      </c>
      <c r="D10" s="71">
        <f t="shared" si="0"/>
        <v>1538885.9217540147</v>
      </c>
      <c r="E10" s="71">
        <f t="shared" si="1"/>
        <v>1575819.1838761112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</row>
    <row r="11" spans="1:22" ht="12.75" customHeight="1" x14ac:dyDescent="0.2">
      <c r="A11" s="89">
        <v>1100109</v>
      </c>
      <c r="B11" s="93" t="s">
        <v>552</v>
      </c>
      <c r="C11" s="116">
        <v>603667.06913411769</v>
      </c>
      <c r="D11" s="71">
        <f t="shared" si="0"/>
        <v>618758.74586247059</v>
      </c>
      <c r="E11" s="71">
        <f t="shared" si="1"/>
        <v>633608.95576316991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</row>
    <row r="12" spans="1:22" ht="12.75" customHeight="1" x14ac:dyDescent="0.2">
      <c r="A12" s="89">
        <v>1100110</v>
      </c>
      <c r="B12" s="93" t="s">
        <v>553</v>
      </c>
      <c r="C12" s="116">
        <v>1735486.0187313298</v>
      </c>
      <c r="D12" s="71">
        <f t="shared" si="0"/>
        <v>1778873.1691996129</v>
      </c>
      <c r="E12" s="71">
        <f t="shared" si="1"/>
        <v>1821566.1252604036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</row>
    <row r="13" spans="1:22" ht="12.75" customHeight="1" x14ac:dyDescent="0.2">
      <c r="A13" s="89">
        <v>1100111</v>
      </c>
      <c r="B13" s="93" t="s">
        <v>554</v>
      </c>
      <c r="C13" s="116">
        <v>1623901.7912452845</v>
      </c>
      <c r="D13" s="71">
        <f t="shared" si="0"/>
        <v>1664499.3360264164</v>
      </c>
      <c r="E13" s="71">
        <f t="shared" si="1"/>
        <v>1704447.3200910504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</row>
    <row r="14" spans="1:22" ht="12.75" customHeight="1" x14ac:dyDescent="0.2">
      <c r="A14" s="89">
        <v>1100112</v>
      </c>
      <c r="B14" s="93" t="s">
        <v>555</v>
      </c>
      <c r="C14" s="116">
        <v>2341102.3930570446</v>
      </c>
      <c r="D14" s="71">
        <f t="shared" si="0"/>
        <v>2399629.9528834703</v>
      </c>
      <c r="E14" s="71">
        <f t="shared" si="1"/>
        <v>2457221.0717526735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</row>
    <row r="15" spans="1:22" ht="12.75" customHeight="1" x14ac:dyDescent="0.2">
      <c r="A15" s="89">
        <v>1100113</v>
      </c>
      <c r="B15" s="93" t="s">
        <v>556</v>
      </c>
      <c r="C15" s="116">
        <v>1332213.9260212756</v>
      </c>
      <c r="D15" s="71">
        <f t="shared" si="0"/>
        <v>1365519.2741718073</v>
      </c>
      <c r="E15" s="71">
        <f t="shared" si="1"/>
        <v>1398291.7367519308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</row>
    <row r="16" spans="1:22" ht="12.75" customHeight="1" x14ac:dyDescent="0.2">
      <c r="A16" s="89">
        <v>1100114</v>
      </c>
      <c r="B16" s="93" t="s">
        <v>557</v>
      </c>
      <c r="C16" s="116">
        <v>1274659.9483693789</v>
      </c>
      <c r="D16" s="71">
        <f t="shared" si="0"/>
        <v>1306526.4470786133</v>
      </c>
      <c r="E16" s="71">
        <f t="shared" si="1"/>
        <v>1337883.0818085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</row>
    <row r="17" spans="1:22" ht="12.75" customHeight="1" x14ac:dyDescent="0.2">
      <c r="A17" s="89">
        <v>1100115</v>
      </c>
      <c r="B17" s="93" t="s">
        <v>558</v>
      </c>
      <c r="C17" s="116">
        <v>1020952.6592246853</v>
      </c>
      <c r="D17" s="71">
        <f t="shared" si="0"/>
        <v>1046476.4757053023</v>
      </c>
      <c r="E17" s="71">
        <f t="shared" si="1"/>
        <v>1071591.9111222296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</row>
    <row r="18" spans="1:22" ht="12.75" customHeight="1" x14ac:dyDescent="0.2">
      <c r="A18" s="89">
        <v>1100116</v>
      </c>
      <c r="B18" s="93" t="s">
        <v>559</v>
      </c>
      <c r="C18" s="116">
        <v>1501352.1187844046</v>
      </c>
      <c r="D18" s="71">
        <f t="shared" si="0"/>
        <v>1538885.9217540147</v>
      </c>
      <c r="E18" s="71">
        <f t="shared" si="1"/>
        <v>1575819.1838761112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</row>
    <row r="19" spans="1:22" ht="12.75" customHeight="1" x14ac:dyDescent="0.2">
      <c r="A19" s="89">
        <v>1100201</v>
      </c>
      <c r="B19" s="93" t="s">
        <v>560</v>
      </c>
      <c r="C19" s="116">
        <v>2807406.9908450241</v>
      </c>
      <c r="D19" s="71">
        <f t="shared" si="0"/>
        <v>2877592.1656161495</v>
      </c>
      <c r="E19" s="71">
        <f t="shared" si="1"/>
        <v>2946654.3775909371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</row>
    <row r="20" spans="1:22" ht="12.75" customHeight="1" x14ac:dyDescent="0.2">
      <c r="A20" s="89">
        <v>1100202</v>
      </c>
      <c r="B20" s="93" t="s">
        <v>561</v>
      </c>
      <c r="C20" s="116">
        <v>2234678.5984454737</v>
      </c>
      <c r="D20" s="71">
        <f t="shared" si="0"/>
        <v>2290545.5634066104</v>
      </c>
      <c r="E20" s="71">
        <f t="shared" si="1"/>
        <v>2345518.6569283693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 spans="1:22" ht="12.75" customHeight="1" x14ac:dyDescent="0.2">
      <c r="A21" s="89">
        <v>1100203</v>
      </c>
      <c r="B21" s="93" t="s">
        <v>562</v>
      </c>
      <c r="C21" s="116">
        <v>1623901.7912452845</v>
      </c>
      <c r="D21" s="71">
        <f t="shared" si="0"/>
        <v>1664499.3360264164</v>
      </c>
      <c r="E21" s="71">
        <f t="shared" si="1"/>
        <v>1704447.3200910504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</row>
    <row r="22" spans="1:22" ht="12.75" customHeight="1" x14ac:dyDescent="0.2">
      <c r="A22" s="89">
        <v>1100204</v>
      </c>
      <c r="B22" s="93" t="s">
        <v>563</v>
      </c>
      <c r="C22" s="116">
        <v>2234678.5984454737</v>
      </c>
      <c r="D22" s="71">
        <f t="shared" si="0"/>
        <v>2290545.5634066104</v>
      </c>
      <c r="E22" s="71">
        <f t="shared" si="1"/>
        <v>2345518.6569283693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</row>
    <row r="23" spans="1:22" ht="12.75" customHeight="1" x14ac:dyDescent="0.2">
      <c r="A23" s="89">
        <v>1100205</v>
      </c>
      <c r="B23" s="93" t="s">
        <v>564</v>
      </c>
      <c r="C23" s="116">
        <v>1884656.4989010359</v>
      </c>
      <c r="D23" s="71">
        <f t="shared" si="0"/>
        <v>1931772.9113735617</v>
      </c>
      <c r="E23" s="71">
        <f t="shared" si="1"/>
        <v>1978135.4612465273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</row>
    <row r="24" spans="1:22" ht="12.75" customHeight="1" x14ac:dyDescent="0.2">
      <c r="A24" s="89">
        <v>1100206</v>
      </c>
      <c r="B24" s="93" t="s">
        <v>565</v>
      </c>
      <c r="C24" s="116">
        <v>1405037.3083846613</v>
      </c>
      <c r="D24" s="71">
        <f t="shared" si="0"/>
        <v>1440163.2410942777</v>
      </c>
      <c r="E24" s="71">
        <f t="shared" si="1"/>
        <v>1474727.1588805404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</row>
    <row r="25" spans="1:22" ht="12.75" customHeight="1" x14ac:dyDescent="0.2">
      <c r="A25" s="89">
        <v>1100207</v>
      </c>
      <c r="B25" s="93" t="s">
        <v>566</v>
      </c>
      <c r="C25" s="116">
        <v>1212407.6999599864</v>
      </c>
      <c r="D25" s="71">
        <f t="shared" si="0"/>
        <v>1242717.892458986</v>
      </c>
      <c r="E25" s="71">
        <f t="shared" si="1"/>
        <v>1272543.1218780016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</row>
    <row r="26" spans="1:22" ht="12.75" customHeight="1" x14ac:dyDescent="0.2">
      <c r="A26" s="89">
        <v>1100208</v>
      </c>
      <c r="B26" s="93" t="s">
        <v>567</v>
      </c>
      <c r="C26" s="116">
        <v>1067935.4905477769</v>
      </c>
      <c r="D26" s="71">
        <f t="shared" si="0"/>
        <v>1094633.8778114712</v>
      </c>
      <c r="E26" s="71">
        <f t="shared" si="1"/>
        <v>1120905.0908789465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</row>
    <row r="27" spans="1:22" ht="12.75" customHeight="1" x14ac:dyDescent="0.2">
      <c r="A27" s="89">
        <v>1100209</v>
      </c>
      <c r="B27" s="93" t="s">
        <v>568</v>
      </c>
      <c r="C27" s="116">
        <v>541414.82072472456</v>
      </c>
      <c r="D27" s="71">
        <f t="shared" si="0"/>
        <v>554950.19124284259</v>
      </c>
      <c r="E27" s="71">
        <f t="shared" si="1"/>
        <v>568268.99583267083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</row>
    <row r="28" spans="1:22" ht="12.75" customHeight="1" x14ac:dyDescent="0.2">
      <c r="A28" s="89">
        <v>1100210</v>
      </c>
      <c r="B28" s="93" t="s">
        <v>569</v>
      </c>
      <c r="C28" s="116">
        <v>1020952.6592246853</v>
      </c>
      <c r="D28" s="71">
        <f t="shared" si="0"/>
        <v>1046476.4757053023</v>
      </c>
      <c r="E28" s="71">
        <f t="shared" si="1"/>
        <v>1071591.9111222296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</row>
    <row r="29" spans="1:22" ht="12.75" customHeight="1" x14ac:dyDescent="0.2">
      <c r="A29" s="89">
        <v>1100211</v>
      </c>
      <c r="B29" s="93" t="s">
        <v>570</v>
      </c>
      <c r="C29" s="116">
        <v>1086728.6230770133</v>
      </c>
      <c r="D29" s="71">
        <f t="shared" si="0"/>
        <v>1113896.8386539386</v>
      </c>
      <c r="E29" s="71">
        <f t="shared" si="1"/>
        <v>1140630.3627816332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</row>
    <row r="30" spans="1:22" ht="12.75" customHeight="1" x14ac:dyDescent="0.2">
      <c r="A30" s="89">
        <v>1100212</v>
      </c>
      <c r="B30" s="93" t="s">
        <v>571</v>
      </c>
      <c r="C30" s="116">
        <v>1274659.9483693789</v>
      </c>
      <c r="D30" s="71">
        <f t="shared" si="0"/>
        <v>1306526.4470786133</v>
      </c>
      <c r="E30" s="71">
        <f t="shared" si="1"/>
        <v>1337883.0818085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</row>
    <row r="31" spans="1:22" ht="12.75" customHeight="1" x14ac:dyDescent="0.2">
      <c r="A31" s="89">
        <v>1100213</v>
      </c>
      <c r="B31" s="93" t="s">
        <v>572</v>
      </c>
      <c r="C31" s="116">
        <v>1389767.8912983597</v>
      </c>
      <c r="D31" s="71">
        <f t="shared" si="0"/>
        <v>1424512.0885808186</v>
      </c>
      <c r="E31" s="71">
        <f t="shared" si="1"/>
        <v>1458700.3787067584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</row>
    <row r="32" spans="1:22" ht="12.75" customHeight="1" x14ac:dyDescent="0.2">
      <c r="A32" s="89">
        <v>1100302</v>
      </c>
      <c r="B32" s="93" t="s">
        <v>573</v>
      </c>
      <c r="C32" s="116">
        <v>1212407.6999599864</v>
      </c>
      <c r="D32" s="71">
        <f t="shared" si="0"/>
        <v>1242717.892458986</v>
      </c>
      <c r="E32" s="71">
        <f t="shared" si="1"/>
        <v>1272543.1218780016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</row>
    <row r="33" spans="1:22" ht="12.75" customHeight="1" x14ac:dyDescent="0.2">
      <c r="A33" s="89">
        <v>1100303</v>
      </c>
      <c r="B33" s="93" t="s">
        <v>574</v>
      </c>
      <c r="C33" s="116">
        <v>977493.54334452876</v>
      </c>
      <c r="D33" s="71">
        <f t="shared" si="0"/>
        <v>1001930.8819281419</v>
      </c>
      <c r="E33" s="71">
        <f t="shared" si="1"/>
        <v>1025977.2230944174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</row>
    <row r="34" spans="1:22" ht="12.75" customHeight="1" x14ac:dyDescent="0.2">
      <c r="A34" s="89">
        <v>1100304</v>
      </c>
      <c r="B34" s="93" t="s">
        <v>575</v>
      </c>
      <c r="C34" s="116">
        <v>1006857.809827758</v>
      </c>
      <c r="D34" s="71">
        <f t="shared" si="0"/>
        <v>1032029.2550734519</v>
      </c>
      <c r="E34" s="71">
        <f t="shared" si="1"/>
        <v>1056797.9571952147</v>
      </c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</row>
    <row r="35" spans="1:22" ht="12.75" customHeight="1" x14ac:dyDescent="0.2">
      <c r="A35" s="89">
        <v>1100305</v>
      </c>
      <c r="B35" s="93" t="s">
        <v>576</v>
      </c>
      <c r="C35" s="116">
        <v>561382.52094333537</v>
      </c>
      <c r="D35" s="71">
        <f t="shared" si="0"/>
        <v>575417.08396691876</v>
      </c>
      <c r="E35" s="71">
        <f t="shared" si="1"/>
        <v>589227.09398212482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</row>
    <row r="36" spans="1:22" ht="12.75" customHeight="1" x14ac:dyDescent="0.2">
      <c r="A36" s="89">
        <v>1100306</v>
      </c>
      <c r="B36" s="93" t="s">
        <v>577</v>
      </c>
      <c r="C36" s="116">
        <v>930510.71202143736</v>
      </c>
      <c r="D36" s="71">
        <f t="shared" si="0"/>
        <v>953773.47982197325</v>
      </c>
      <c r="E36" s="71">
        <f t="shared" si="1"/>
        <v>976664.04333770066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</row>
    <row r="37" spans="1:22" ht="12.75" customHeight="1" x14ac:dyDescent="0.2">
      <c r="A37" s="89">
        <v>1100401</v>
      </c>
      <c r="B37" s="93" t="s">
        <v>578</v>
      </c>
      <c r="C37" s="116">
        <v>1884656.4989010359</v>
      </c>
      <c r="D37" s="71">
        <f t="shared" si="0"/>
        <v>1931772.9113735617</v>
      </c>
      <c r="E37" s="71">
        <f t="shared" si="1"/>
        <v>1978135.4612465273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</row>
    <row r="38" spans="1:22" ht="12.75" customHeight="1" x14ac:dyDescent="0.2">
      <c r="A38" s="89">
        <v>1100402</v>
      </c>
      <c r="B38" s="93" t="s">
        <v>579</v>
      </c>
      <c r="C38" s="116">
        <v>1735486.0187313298</v>
      </c>
      <c r="D38" s="71">
        <f t="shared" si="0"/>
        <v>1778873.1691996129</v>
      </c>
      <c r="E38" s="71">
        <f t="shared" si="1"/>
        <v>1821566.1252604036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</row>
    <row r="39" spans="1:22" ht="12.75" customHeight="1" x14ac:dyDescent="0.2">
      <c r="A39" s="89">
        <v>1100403</v>
      </c>
      <c r="B39" s="93" t="s">
        <v>580</v>
      </c>
      <c r="C39" s="116">
        <v>1274659.9483693789</v>
      </c>
      <c r="D39" s="71">
        <f t="shared" si="0"/>
        <v>1306526.4470786133</v>
      </c>
      <c r="E39" s="71">
        <f t="shared" si="1"/>
        <v>1337883.0818085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</row>
    <row r="40" spans="1:22" ht="12.75" customHeight="1" x14ac:dyDescent="0.2">
      <c r="A40" s="89">
        <v>1100404</v>
      </c>
      <c r="B40" s="93" t="s">
        <v>581</v>
      </c>
      <c r="C40" s="116">
        <v>1384289.3514975177</v>
      </c>
      <c r="D40" s="71">
        <f t="shared" si="0"/>
        <v>1418896.5852849556</v>
      </c>
      <c r="E40" s="71">
        <f t="shared" si="1"/>
        <v>1452950.1033317945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</row>
    <row r="41" spans="1:22" ht="12.75" customHeight="1" x14ac:dyDescent="0.2">
      <c r="A41" s="89">
        <v>1100405</v>
      </c>
      <c r="B41" s="93" t="s">
        <v>582</v>
      </c>
      <c r="C41" s="116">
        <v>1274659.9483693789</v>
      </c>
      <c r="D41" s="71">
        <f t="shared" si="0"/>
        <v>1306526.4470786133</v>
      </c>
      <c r="E41" s="71">
        <f t="shared" si="1"/>
        <v>1337883.0818085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</row>
    <row r="42" spans="1:22" ht="12.75" customHeight="1" x14ac:dyDescent="0.2">
      <c r="A42" s="89">
        <v>1100406</v>
      </c>
      <c r="B42" s="93" t="s">
        <v>583</v>
      </c>
      <c r="C42" s="116">
        <v>930510.71202143736</v>
      </c>
      <c r="D42" s="71">
        <f t="shared" si="0"/>
        <v>953773.47982197325</v>
      </c>
      <c r="E42" s="71">
        <f t="shared" si="1"/>
        <v>976664.04333770066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</row>
    <row r="43" spans="1:22" ht="12.75" customHeight="1" x14ac:dyDescent="0.2">
      <c r="A43" s="89">
        <v>1100407</v>
      </c>
      <c r="B43" s="93" t="s">
        <v>584</v>
      </c>
      <c r="C43" s="116">
        <v>561382.52094333537</v>
      </c>
      <c r="D43" s="71">
        <f t="shared" si="0"/>
        <v>575417.08396691876</v>
      </c>
      <c r="E43" s="71">
        <f t="shared" si="1"/>
        <v>589227.09398212482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</row>
    <row r="44" spans="1:22" ht="12.75" customHeight="1" x14ac:dyDescent="0.2">
      <c r="A44" s="89">
        <v>1100501</v>
      </c>
      <c r="B44" s="93" t="s">
        <v>585</v>
      </c>
      <c r="C44" s="116">
        <v>2234678.5984454737</v>
      </c>
      <c r="D44" s="71">
        <f t="shared" si="0"/>
        <v>2290545.5634066104</v>
      </c>
      <c r="E44" s="71">
        <f t="shared" si="1"/>
        <v>2345518.6569283693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</row>
    <row r="45" spans="1:22" ht="12.75" customHeight="1" x14ac:dyDescent="0.2">
      <c r="A45" s="89">
        <v>1100502</v>
      </c>
      <c r="B45" s="93" t="s">
        <v>586</v>
      </c>
      <c r="C45" s="116">
        <v>1039745.7917539218</v>
      </c>
      <c r="D45" s="71">
        <f t="shared" si="0"/>
        <v>1065739.4365477697</v>
      </c>
      <c r="E45" s="71">
        <f t="shared" si="1"/>
        <v>1091317.1830249161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</row>
    <row r="46" spans="1:22" ht="12.75" customHeight="1" x14ac:dyDescent="0.2">
      <c r="A46" s="89">
        <v>1100503</v>
      </c>
      <c r="B46" s="93" t="s">
        <v>587</v>
      </c>
      <c r="C46" s="116">
        <v>977493.54334452876</v>
      </c>
      <c r="D46" s="71">
        <f t="shared" si="0"/>
        <v>1001930.8819281419</v>
      </c>
      <c r="E46" s="71">
        <f t="shared" si="1"/>
        <v>1025977.2230944174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</row>
    <row r="47" spans="1:22" ht="12.75" customHeight="1" x14ac:dyDescent="0.2">
      <c r="A47" s="89">
        <v>1100504</v>
      </c>
      <c r="B47" s="93" t="s">
        <v>588</v>
      </c>
      <c r="C47" s="116">
        <v>1212407.6999599864</v>
      </c>
      <c r="D47" s="71">
        <f t="shared" si="0"/>
        <v>1242717.892458986</v>
      </c>
      <c r="E47" s="71">
        <f t="shared" si="1"/>
        <v>1272543.1218780016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48" spans="1:22" ht="12.75" customHeight="1" x14ac:dyDescent="0.2">
      <c r="A48" s="89">
        <v>1100505</v>
      </c>
      <c r="B48" s="93" t="s">
        <v>589</v>
      </c>
      <c r="C48" s="116">
        <v>1405037.3083846613</v>
      </c>
      <c r="D48" s="71">
        <f t="shared" si="0"/>
        <v>1440163.2410942777</v>
      </c>
      <c r="E48" s="71">
        <f t="shared" si="1"/>
        <v>1474727.1588805404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</row>
    <row r="49" spans="1:22" ht="12.75" customHeight="1" x14ac:dyDescent="0.2">
      <c r="A49" s="89">
        <v>1100506</v>
      </c>
      <c r="B49" s="93" t="s">
        <v>590</v>
      </c>
      <c r="C49" s="116">
        <v>1006857.809827758</v>
      </c>
      <c r="D49" s="71">
        <f t="shared" si="0"/>
        <v>1032029.2550734519</v>
      </c>
      <c r="E49" s="71">
        <f t="shared" si="1"/>
        <v>1056797.9571952147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50" spans="1:22" ht="12.75" customHeight="1" x14ac:dyDescent="0.2">
      <c r="A50" s="89">
        <v>1100507</v>
      </c>
      <c r="B50" s="93" t="s">
        <v>591</v>
      </c>
      <c r="C50" s="116">
        <v>943430.99372899067</v>
      </c>
      <c r="D50" s="71">
        <f t="shared" si="0"/>
        <v>967016.76857221534</v>
      </c>
      <c r="E50" s="71">
        <f t="shared" si="1"/>
        <v>990225.17101794854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 spans="1:22" ht="12.75" customHeight="1" x14ac:dyDescent="0.2">
      <c r="A51" s="89">
        <v>1100508</v>
      </c>
      <c r="B51" s="93" t="s">
        <v>592</v>
      </c>
      <c r="C51" s="116">
        <v>1039745.7917539218</v>
      </c>
      <c r="D51" s="71">
        <f t="shared" si="0"/>
        <v>1065739.4365477697</v>
      </c>
      <c r="E51" s="71">
        <f t="shared" si="1"/>
        <v>1091317.1830249161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</row>
    <row r="52" spans="1:22" ht="12.75" customHeight="1" x14ac:dyDescent="0.2">
      <c r="A52" s="89">
        <v>1100509</v>
      </c>
      <c r="B52" s="93" t="s">
        <v>593</v>
      </c>
      <c r="C52" s="116">
        <v>575477.37034026289</v>
      </c>
      <c r="D52" s="71">
        <f t="shared" si="0"/>
        <v>589864.30459876941</v>
      </c>
      <c r="E52" s="71">
        <f t="shared" si="1"/>
        <v>604021.04790913989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 spans="1:22" ht="12.75" customHeight="1" x14ac:dyDescent="0.2">
      <c r="A53" s="89">
        <v>1100510</v>
      </c>
      <c r="B53" s="93" t="s">
        <v>594</v>
      </c>
      <c r="C53" s="116">
        <v>555509.67012165207</v>
      </c>
      <c r="D53" s="71">
        <f t="shared" si="0"/>
        <v>569397.41187469335</v>
      </c>
      <c r="E53" s="71">
        <f t="shared" si="1"/>
        <v>583062.94975968602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spans="1:22" ht="12.75" customHeight="1" x14ac:dyDescent="0.2">
      <c r="A54" s="89">
        <v>1100601</v>
      </c>
      <c r="B54" s="93" t="s">
        <v>595</v>
      </c>
      <c r="C54" s="116">
        <v>1167774.0163904557</v>
      </c>
      <c r="D54" s="71">
        <f t="shared" si="0"/>
        <v>1196968.366800217</v>
      </c>
      <c r="E54" s="71">
        <f t="shared" si="1"/>
        <v>1225695.6076034221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spans="1:22" ht="12.75" customHeight="1" x14ac:dyDescent="0.2">
      <c r="A55" s="89">
        <v>1100602</v>
      </c>
      <c r="B55" s="93" t="s">
        <v>596</v>
      </c>
      <c r="C55" s="116">
        <v>1039745.7917539218</v>
      </c>
      <c r="D55" s="71">
        <f t="shared" si="0"/>
        <v>1065739.4365477697</v>
      </c>
      <c r="E55" s="71">
        <f t="shared" si="1"/>
        <v>1091317.1830249161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spans="1:22" ht="12.75" customHeight="1" x14ac:dyDescent="0.2">
      <c r="A56" s="89">
        <v>1100603</v>
      </c>
      <c r="B56" s="93" t="s">
        <v>597</v>
      </c>
      <c r="C56" s="116">
        <v>1039745.7917539218</v>
      </c>
      <c r="D56" s="71">
        <f t="shared" si="0"/>
        <v>1065739.4365477697</v>
      </c>
      <c r="E56" s="71">
        <f t="shared" si="1"/>
        <v>1091317.1830249161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spans="1:22" ht="12.75" customHeight="1" x14ac:dyDescent="0.2">
      <c r="A57" s="89">
        <v>1100604</v>
      </c>
      <c r="B57" s="93" t="s">
        <v>598</v>
      </c>
      <c r="C57" s="116">
        <v>575477.37034026289</v>
      </c>
      <c r="D57" s="71">
        <f t="shared" si="0"/>
        <v>589864.30459876941</v>
      </c>
      <c r="E57" s="71">
        <f t="shared" si="1"/>
        <v>604021.04790913989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spans="1:22" ht="12.75" customHeight="1" x14ac:dyDescent="0.2">
      <c r="A58" s="89">
        <v>1100605</v>
      </c>
      <c r="B58" s="93" t="s">
        <v>599</v>
      </c>
      <c r="C58" s="116">
        <v>1006857.809827758</v>
      </c>
      <c r="D58" s="71">
        <f t="shared" si="0"/>
        <v>1032029.2550734519</v>
      </c>
      <c r="E58" s="71">
        <f t="shared" si="1"/>
        <v>1056797.9571952147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spans="1:22" ht="12.75" customHeight="1" x14ac:dyDescent="0.2">
      <c r="A59" s="89">
        <v>1100606</v>
      </c>
      <c r="B59" s="93" t="s">
        <v>600</v>
      </c>
      <c r="C59" s="116">
        <v>650649.90045720921</v>
      </c>
      <c r="D59" s="71">
        <f t="shared" si="0"/>
        <v>666916.14796863939</v>
      </c>
      <c r="E59" s="71">
        <f t="shared" si="1"/>
        <v>682922.13551988674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spans="1:22" ht="12.75" customHeight="1" x14ac:dyDescent="0.2">
      <c r="A60" s="89">
        <v>1100607</v>
      </c>
      <c r="B60" s="93" t="s">
        <v>601</v>
      </c>
      <c r="C60" s="116">
        <v>943430.99372899067</v>
      </c>
      <c r="D60" s="71">
        <f t="shared" si="0"/>
        <v>967016.76857221534</v>
      </c>
      <c r="E60" s="71">
        <f t="shared" si="1"/>
        <v>990225.17101794854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spans="1:22" ht="12.75" customHeight="1" x14ac:dyDescent="0.2">
      <c r="A61" s="89">
        <v>1100701</v>
      </c>
      <c r="B61" s="93" t="s">
        <v>602</v>
      </c>
      <c r="C61" s="116">
        <v>2076823.969958358</v>
      </c>
      <c r="D61" s="71">
        <f t="shared" si="0"/>
        <v>2128744.5692073167</v>
      </c>
      <c r="E61" s="71">
        <f t="shared" si="1"/>
        <v>2179834.4388682926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spans="1:22" ht="12.75" customHeight="1" x14ac:dyDescent="0.2">
      <c r="A62" s="89">
        <v>1100702</v>
      </c>
      <c r="B62" s="93" t="s">
        <v>603</v>
      </c>
      <c r="C62" s="116">
        <v>1067935.4905477769</v>
      </c>
      <c r="D62" s="71">
        <f t="shared" si="0"/>
        <v>1094633.8778114712</v>
      </c>
      <c r="E62" s="71">
        <f t="shared" si="1"/>
        <v>1120905.0908789465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spans="1:22" ht="12.75" customHeight="1" x14ac:dyDescent="0.2">
      <c r="A63" s="89">
        <v>1100703</v>
      </c>
      <c r="B63" s="93" t="s">
        <v>604</v>
      </c>
      <c r="C63" s="116">
        <v>1006857.809827758</v>
      </c>
      <c r="D63" s="71">
        <f t="shared" si="0"/>
        <v>1032029.2550734519</v>
      </c>
      <c r="E63" s="71">
        <f t="shared" si="1"/>
        <v>1056797.9571952147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spans="1:22" ht="12.75" customHeight="1" x14ac:dyDescent="0.2">
      <c r="A64" s="89">
        <v>1100704</v>
      </c>
      <c r="B64" s="93" t="s">
        <v>605</v>
      </c>
      <c r="C64" s="116">
        <v>943430.99372899067</v>
      </c>
      <c r="D64" s="71">
        <f t="shared" si="0"/>
        <v>967016.76857221534</v>
      </c>
      <c r="E64" s="71">
        <f t="shared" si="1"/>
        <v>990225.17101794854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spans="1:22" ht="12.75" customHeight="1" x14ac:dyDescent="0.2">
      <c r="A65" s="89">
        <v>1100705</v>
      </c>
      <c r="B65" s="93" t="s">
        <v>606</v>
      </c>
      <c r="C65" s="116">
        <v>575477.37034026289</v>
      </c>
      <c r="D65" s="71">
        <f t="shared" si="0"/>
        <v>589864.30459876941</v>
      </c>
      <c r="E65" s="71">
        <f t="shared" si="1"/>
        <v>604021.04790913989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spans="1:22" ht="12.75" customHeight="1" x14ac:dyDescent="0.2">
      <c r="A66" s="89">
        <v>1100706</v>
      </c>
      <c r="B66" s="93" t="s">
        <v>607</v>
      </c>
      <c r="C66" s="116">
        <v>603667.06913411769</v>
      </c>
      <c r="D66" s="71">
        <f t="shared" si="0"/>
        <v>618758.74586247059</v>
      </c>
      <c r="E66" s="71">
        <f t="shared" si="1"/>
        <v>633608.95576316991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spans="1:22" ht="12.75" customHeight="1" x14ac:dyDescent="0.2">
      <c r="A67" s="89">
        <v>1100707</v>
      </c>
      <c r="B67" s="93" t="s">
        <v>608</v>
      </c>
      <c r="C67" s="116">
        <v>775154.39727599546</v>
      </c>
      <c r="D67" s="71">
        <f t="shared" si="0"/>
        <v>794533.25720789528</v>
      </c>
      <c r="E67" s="71">
        <f t="shared" si="1"/>
        <v>813602.05538088479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spans="1:22" ht="12.75" customHeight="1" x14ac:dyDescent="0.2">
      <c r="A68" s="89">
        <v>1100708</v>
      </c>
      <c r="B68" s="93" t="s">
        <v>609</v>
      </c>
      <c r="C68" s="116">
        <v>1274659.9483693789</v>
      </c>
      <c r="D68" s="71">
        <f t="shared" si="0"/>
        <v>1306526.4470786133</v>
      </c>
      <c r="E68" s="71">
        <f t="shared" si="1"/>
        <v>1337883.0818085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spans="1:22" ht="12.75" customHeight="1" x14ac:dyDescent="0.2">
      <c r="A69" s="89">
        <v>1100709</v>
      </c>
      <c r="B69" s="93" t="s">
        <v>610</v>
      </c>
      <c r="C69" s="116">
        <v>959874.97850466648</v>
      </c>
      <c r="D69" s="71">
        <f t="shared" si="0"/>
        <v>983871.85296728311</v>
      </c>
      <c r="E69" s="71">
        <f t="shared" si="1"/>
        <v>1007484.7774384979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spans="1:22" ht="12.75" customHeight="1" x14ac:dyDescent="0.2">
      <c r="A70" s="89">
        <v>1100710</v>
      </c>
      <c r="B70" s="93" t="s">
        <v>611</v>
      </c>
      <c r="C70" s="116">
        <v>603667.06913411769</v>
      </c>
      <c r="D70" s="71">
        <f t="shared" ref="D70:D133" si="2">IFERROR(C70*(1+$D$1),C70)</f>
        <v>618758.74586247059</v>
      </c>
      <c r="E70" s="71">
        <f t="shared" ref="E70:E133" si="3">IFERROR(D70*(1+$E$1),D70)</f>
        <v>633608.95576316991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spans="1:22" ht="12.75" customHeight="1" x14ac:dyDescent="0.2">
      <c r="A71" s="89">
        <v>1100711</v>
      </c>
      <c r="B71" s="93" t="s">
        <v>612</v>
      </c>
      <c r="C71" s="116">
        <v>575477.37034026289</v>
      </c>
      <c r="D71" s="71">
        <f t="shared" si="2"/>
        <v>589864.30459876941</v>
      </c>
      <c r="E71" s="71">
        <f t="shared" si="3"/>
        <v>604021.04790913989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spans="1:22" ht="12.75" customHeight="1" x14ac:dyDescent="0.2">
      <c r="A72" s="89">
        <v>110505</v>
      </c>
      <c r="B72" s="93" t="s">
        <v>613</v>
      </c>
      <c r="C72" s="116">
        <v>1006857.809827758</v>
      </c>
      <c r="D72" s="71">
        <f t="shared" si="2"/>
        <v>1032029.2550734519</v>
      </c>
      <c r="E72" s="71">
        <f t="shared" si="3"/>
        <v>1056797.9571952147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spans="1:22" ht="12.75" customHeight="1" x14ac:dyDescent="0.2">
      <c r="A73" s="89">
        <v>110507</v>
      </c>
      <c r="B73" s="93" t="s">
        <v>614</v>
      </c>
      <c r="C73" s="116">
        <v>943430.99372899067</v>
      </c>
      <c r="D73" s="71">
        <f t="shared" si="2"/>
        <v>967016.76857221534</v>
      </c>
      <c r="E73" s="71">
        <f t="shared" si="3"/>
        <v>990225.17101794854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spans="1:22" ht="12.75" customHeight="1" x14ac:dyDescent="0.2">
      <c r="A74" s="89">
        <v>110508</v>
      </c>
      <c r="B74" s="93" t="s">
        <v>615</v>
      </c>
      <c r="C74" s="116">
        <v>936157.72251766361</v>
      </c>
      <c r="D74" s="71">
        <f t="shared" si="2"/>
        <v>959561.66558060516</v>
      </c>
      <c r="E74" s="71">
        <f t="shared" si="3"/>
        <v>982591.14555453975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spans="1:22" ht="12.75" customHeight="1" x14ac:dyDescent="0.2">
      <c r="A75" s="89">
        <v>1110101</v>
      </c>
      <c r="B75" s="93" t="s">
        <v>616</v>
      </c>
      <c r="C75" s="116">
        <v>1067935.4905477769</v>
      </c>
      <c r="D75" s="71">
        <f t="shared" si="2"/>
        <v>1094633.8778114712</v>
      </c>
      <c r="E75" s="71">
        <f t="shared" si="3"/>
        <v>1120905.0908789465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spans="1:22" ht="12.75" customHeight="1" x14ac:dyDescent="0.2">
      <c r="A76" s="89">
        <v>1110104</v>
      </c>
      <c r="B76" s="93" t="s">
        <v>617</v>
      </c>
      <c r="C76" s="116">
        <v>1039745.7917539218</v>
      </c>
      <c r="D76" s="71">
        <f t="shared" si="2"/>
        <v>1065739.4365477697</v>
      </c>
      <c r="E76" s="71">
        <f t="shared" si="3"/>
        <v>1091317.1830249161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spans="1:22" ht="12.75" customHeight="1" x14ac:dyDescent="0.2">
      <c r="A77" s="89">
        <v>1110201</v>
      </c>
      <c r="B77" s="93" t="s">
        <v>618</v>
      </c>
      <c r="C77" s="116">
        <v>2341102.3930570446</v>
      </c>
      <c r="D77" s="71">
        <f t="shared" si="2"/>
        <v>2399629.9528834703</v>
      </c>
      <c r="E77" s="71">
        <f t="shared" si="3"/>
        <v>2457221.0717526735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spans="1:22" ht="12.75" customHeight="1" x14ac:dyDescent="0.2">
      <c r="A78" s="89">
        <v>1110202</v>
      </c>
      <c r="B78" s="93" t="s">
        <v>619</v>
      </c>
      <c r="C78" s="116">
        <v>2457384.9036753983</v>
      </c>
      <c r="D78" s="71">
        <f t="shared" si="2"/>
        <v>2518819.5262672831</v>
      </c>
      <c r="E78" s="71">
        <f t="shared" si="3"/>
        <v>2579271.1948976978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spans="1:22" ht="12.75" customHeight="1" x14ac:dyDescent="0.2">
      <c r="A79" s="89">
        <v>1110203</v>
      </c>
      <c r="B79" s="93" t="s">
        <v>620</v>
      </c>
      <c r="C79" s="116">
        <v>1508793.8483163044</v>
      </c>
      <c r="D79" s="71">
        <f t="shared" si="2"/>
        <v>1546513.6945242118</v>
      </c>
      <c r="E79" s="71">
        <f t="shared" si="3"/>
        <v>1583630.0231927929</v>
      </c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spans="1:22" ht="12.75" customHeight="1" x14ac:dyDescent="0.2">
      <c r="A80" s="89">
        <v>1110204</v>
      </c>
      <c r="B80" s="93" t="s">
        <v>621</v>
      </c>
      <c r="C80" s="116">
        <v>1212407.6999599864</v>
      </c>
      <c r="D80" s="71">
        <f t="shared" si="2"/>
        <v>1242717.892458986</v>
      </c>
      <c r="E80" s="71">
        <f t="shared" si="3"/>
        <v>1272543.1218780016</v>
      </c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spans="1:22" ht="12.75" customHeight="1" x14ac:dyDescent="0.2">
      <c r="A81" s="89">
        <v>1110205</v>
      </c>
      <c r="B81" s="93" t="s">
        <v>622</v>
      </c>
      <c r="C81" s="116">
        <v>977493.54334452876</v>
      </c>
      <c r="D81" s="71">
        <f t="shared" si="2"/>
        <v>1001930.8819281419</v>
      </c>
      <c r="E81" s="71">
        <f t="shared" si="3"/>
        <v>1025977.2230944174</v>
      </c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spans="1:22" ht="12.75" customHeight="1" x14ac:dyDescent="0.2">
      <c r="A82" s="89">
        <v>1110207</v>
      </c>
      <c r="B82" s="93" t="s">
        <v>623</v>
      </c>
      <c r="C82" s="116">
        <v>1212407.6999599864</v>
      </c>
      <c r="D82" s="71">
        <f t="shared" si="2"/>
        <v>1242717.892458986</v>
      </c>
      <c r="E82" s="71">
        <f t="shared" si="3"/>
        <v>1272543.1218780016</v>
      </c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spans="1:22" ht="12.75" customHeight="1" x14ac:dyDescent="0.2">
      <c r="A83" s="89">
        <v>1110212</v>
      </c>
      <c r="B83" s="93" t="s">
        <v>624</v>
      </c>
      <c r="C83" s="116">
        <v>1039745.7917539218</v>
      </c>
      <c r="D83" s="71">
        <f t="shared" si="2"/>
        <v>1065739.4365477697</v>
      </c>
      <c r="E83" s="71">
        <f t="shared" si="3"/>
        <v>1091317.1830249161</v>
      </c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spans="1:22" ht="12.75" customHeight="1" x14ac:dyDescent="0.2">
      <c r="A84" s="89">
        <v>1110214</v>
      </c>
      <c r="B84" s="93" t="s">
        <v>625</v>
      </c>
      <c r="C84" s="116">
        <v>684712.45007274731</v>
      </c>
      <c r="D84" s="71">
        <f t="shared" si="2"/>
        <v>701830.26132456597</v>
      </c>
      <c r="E84" s="71">
        <f t="shared" si="3"/>
        <v>718674.18759635556</v>
      </c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spans="1:22" ht="12.75" customHeight="1" x14ac:dyDescent="0.2">
      <c r="A85" s="89">
        <v>1110215</v>
      </c>
      <c r="B85" s="93" t="s">
        <v>626</v>
      </c>
      <c r="C85" s="116">
        <v>575477.37034026289</v>
      </c>
      <c r="D85" s="71">
        <f t="shared" si="2"/>
        <v>589864.30459876941</v>
      </c>
      <c r="E85" s="71">
        <f t="shared" si="3"/>
        <v>604021.04790913989</v>
      </c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spans="1:22" ht="12.75" customHeight="1" x14ac:dyDescent="0.2">
      <c r="A86" s="89">
        <v>1110217</v>
      </c>
      <c r="B86" s="94" t="s">
        <v>627</v>
      </c>
      <c r="C86" s="116">
        <v>852989.04652574251</v>
      </c>
      <c r="D86" s="71">
        <f t="shared" si="2"/>
        <v>874313.77268888603</v>
      </c>
      <c r="E86" s="71">
        <f t="shared" si="3"/>
        <v>895297.30323341931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spans="1:22" ht="12.75" customHeight="1" x14ac:dyDescent="0.2">
      <c r="A87" s="89">
        <v>1110303</v>
      </c>
      <c r="B87" s="93" t="s">
        <v>628</v>
      </c>
      <c r="C87" s="116">
        <v>1274659.9483693789</v>
      </c>
      <c r="D87" s="71">
        <f t="shared" si="2"/>
        <v>1306526.4470786133</v>
      </c>
      <c r="E87" s="71">
        <f t="shared" si="3"/>
        <v>1337883.0818085</v>
      </c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spans="1:22" ht="12.75" customHeight="1" x14ac:dyDescent="0.2">
      <c r="A88" s="89">
        <v>1110304</v>
      </c>
      <c r="B88" s="93" t="s">
        <v>629</v>
      </c>
      <c r="C88" s="116">
        <v>1006857.809827758</v>
      </c>
      <c r="D88" s="71">
        <f t="shared" si="2"/>
        <v>1032029.2550734519</v>
      </c>
      <c r="E88" s="71">
        <f t="shared" si="3"/>
        <v>1056797.9571952147</v>
      </c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spans="1:22" ht="12.75" customHeight="1" x14ac:dyDescent="0.2">
      <c r="A89" s="89">
        <v>1110305</v>
      </c>
      <c r="B89" s="93" t="s">
        <v>630</v>
      </c>
      <c r="C89" s="116">
        <v>1274659.9483693789</v>
      </c>
      <c r="D89" s="71">
        <f t="shared" si="2"/>
        <v>1306526.4470786133</v>
      </c>
      <c r="E89" s="71">
        <f t="shared" si="3"/>
        <v>1337883.0818085</v>
      </c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spans="1:22" ht="12.75" customHeight="1" x14ac:dyDescent="0.2">
      <c r="A90" s="89">
        <v>1110306</v>
      </c>
      <c r="B90" s="93" t="s">
        <v>631</v>
      </c>
      <c r="C90" s="116">
        <v>1167774.0163904557</v>
      </c>
      <c r="D90" s="71">
        <f t="shared" si="2"/>
        <v>1196968.366800217</v>
      </c>
      <c r="E90" s="71">
        <f t="shared" si="3"/>
        <v>1225695.6076034221</v>
      </c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spans="1:22" ht="12.75" customHeight="1" x14ac:dyDescent="0.2">
      <c r="A91" s="89">
        <v>1110307</v>
      </c>
      <c r="B91" s="93" t="s">
        <v>632</v>
      </c>
      <c r="C91" s="116">
        <v>1274659.9483693789</v>
      </c>
      <c r="D91" s="71">
        <f t="shared" si="2"/>
        <v>1306526.4470786133</v>
      </c>
      <c r="E91" s="71">
        <f t="shared" si="3"/>
        <v>1337883.0818085</v>
      </c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spans="1:22" ht="12.75" customHeight="1" x14ac:dyDescent="0.2">
      <c r="A92" s="89">
        <v>1110309</v>
      </c>
      <c r="B92" s="93" t="s">
        <v>633</v>
      </c>
      <c r="C92" s="116">
        <v>603667.06913411769</v>
      </c>
      <c r="D92" s="71">
        <f t="shared" si="2"/>
        <v>618758.74586247059</v>
      </c>
      <c r="E92" s="71">
        <f t="shared" si="3"/>
        <v>633608.95576316991</v>
      </c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spans="1:22" ht="12.75" customHeight="1" x14ac:dyDescent="0.2">
      <c r="A93" s="89">
        <v>1110310</v>
      </c>
      <c r="B93" s="93" t="s">
        <v>634</v>
      </c>
      <c r="C93" s="116">
        <v>684712.45007274731</v>
      </c>
      <c r="D93" s="71">
        <f t="shared" si="2"/>
        <v>701830.26132456597</v>
      </c>
      <c r="E93" s="71">
        <f t="shared" si="3"/>
        <v>718674.18759635556</v>
      </c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spans="1:22" ht="12.75" customHeight="1" x14ac:dyDescent="0.2">
      <c r="A94" s="89">
        <v>1110311</v>
      </c>
      <c r="B94" s="93" t="s">
        <v>635</v>
      </c>
      <c r="C94" s="116">
        <v>561382.52094333537</v>
      </c>
      <c r="D94" s="71">
        <f t="shared" si="2"/>
        <v>575417.08396691876</v>
      </c>
      <c r="E94" s="71">
        <f t="shared" si="3"/>
        <v>589227.09398212482</v>
      </c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spans="1:22" ht="12.75" customHeight="1" x14ac:dyDescent="0.2">
      <c r="A95" s="89">
        <v>1110312</v>
      </c>
      <c r="B95" s="93" t="s">
        <v>636</v>
      </c>
      <c r="C95" s="116">
        <v>1884656.4989010359</v>
      </c>
      <c r="D95" s="71">
        <f t="shared" si="2"/>
        <v>1931772.9113735617</v>
      </c>
      <c r="E95" s="71">
        <f t="shared" si="3"/>
        <v>1978135.4612465273</v>
      </c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spans="1:22" ht="12.75" customHeight="1" x14ac:dyDescent="0.2">
      <c r="A96" s="89">
        <v>1110313</v>
      </c>
      <c r="B96" s="93" t="s">
        <v>637</v>
      </c>
      <c r="C96" s="116">
        <v>1167774.0163904557</v>
      </c>
      <c r="D96" s="71">
        <f t="shared" si="2"/>
        <v>1196968.366800217</v>
      </c>
      <c r="E96" s="71">
        <f t="shared" si="3"/>
        <v>1225695.6076034221</v>
      </c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spans="1:22" ht="12.75" customHeight="1" x14ac:dyDescent="0.2">
      <c r="A97" s="89">
        <v>1110314</v>
      </c>
      <c r="B97" s="93" t="s">
        <v>638</v>
      </c>
      <c r="C97" s="116">
        <v>650649.90045720921</v>
      </c>
      <c r="D97" s="71">
        <f t="shared" si="2"/>
        <v>666916.14796863939</v>
      </c>
      <c r="E97" s="71">
        <f t="shared" si="3"/>
        <v>682922.13551988674</v>
      </c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spans="1:22" ht="12.75" customHeight="1" x14ac:dyDescent="0.2">
      <c r="A98" s="89">
        <v>1110315</v>
      </c>
      <c r="B98" s="93" t="s">
        <v>639</v>
      </c>
      <c r="C98" s="116">
        <v>561382.52094333537</v>
      </c>
      <c r="D98" s="71">
        <f t="shared" si="2"/>
        <v>575417.08396691876</v>
      </c>
      <c r="E98" s="71">
        <f t="shared" si="3"/>
        <v>589227.09398212482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spans="1:22" ht="12.75" customHeight="1" x14ac:dyDescent="0.2">
      <c r="A99" s="89">
        <v>1110316</v>
      </c>
      <c r="B99" s="93" t="s">
        <v>640</v>
      </c>
      <c r="C99" s="116">
        <v>943430.99372899067</v>
      </c>
      <c r="D99" s="71">
        <f t="shared" si="2"/>
        <v>967016.76857221534</v>
      </c>
      <c r="E99" s="71">
        <f t="shared" si="3"/>
        <v>990225.17101794854</v>
      </c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spans="1:22" ht="12.75" customHeight="1" x14ac:dyDescent="0.2">
      <c r="A100" s="89">
        <v>1110317</v>
      </c>
      <c r="B100" s="93" t="s">
        <v>641</v>
      </c>
      <c r="C100" s="116">
        <v>1006857.809827758</v>
      </c>
      <c r="D100" s="71">
        <f t="shared" si="2"/>
        <v>1032029.2550734519</v>
      </c>
      <c r="E100" s="71">
        <f t="shared" si="3"/>
        <v>1056797.9571952147</v>
      </c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spans="1:22" ht="12.75" customHeight="1" x14ac:dyDescent="0.2">
      <c r="A101" s="89">
        <v>1120201</v>
      </c>
      <c r="B101" s="93" t="s">
        <v>642</v>
      </c>
      <c r="C101" s="116">
        <v>820962.66090971266</v>
      </c>
      <c r="D101" s="71">
        <f t="shared" si="2"/>
        <v>841486.7274324554</v>
      </c>
      <c r="E101" s="71">
        <f t="shared" si="3"/>
        <v>861682.40889083431</v>
      </c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spans="1:22" ht="12.75" customHeight="1" x14ac:dyDescent="0.2">
      <c r="A102" s="89">
        <v>1120202</v>
      </c>
      <c r="B102" s="93" t="s">
        <v>643</v>
      </c>
      <c r="C102" s="116">
        <v>625983.91710628918</v>
      </c>
      <c r="D102" s="71">
        <f t="shared" si="2"/>
        <v>641633.51503394637</v>
      </c>
      <c r="E102" s="71">
        <f t="shared" si="3"/>
        <v>657032.71939476114</v>
      </c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spans="1:22" ht="12.75" customHeight="1" x14ac:dyDescent="0.2">
      <c r="A103" s="89">
        <v>1120203</v>
      </c>
      <c r="B103" s="93" t="s">
        <v>644</v>
      </c>
      <c r="C103" s="116">
        <v>728171.56595290406</v>
      </c>
      <c r="D103" s="71">
        <f t="shared" si="2"/>
        <v>746375.8551017266</v>
      </c>
      <c r="E103" s="71">
        <f t="shared" si="3"/>
        <v>764288.87562416808</v>
      </c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spans="1:22" ht="12.75" customHeight="1" x14ac:dyDescent="0.2">
      <c r="A104" s="89">
        <v>1120204</v>
      </c>
      <c r="B104" s="93" t="s">
        <v>645</v>
      </c>
      <c r="C104" s="116">
        <v>582524.78885132039</v>
      </c>
      <c r="D104" s="71">
        <f t="shared" si="2"/>
        <v>597087.90857260337</v>
      </c>
      <c r="E104" s="71">
        <f t="shared" si="3"/>
        <v>611418.01837834588</v>
      </c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spans="1:22" ht="12.75" customHeight="1" x14ac:dyDescent="0.2">
      <c r="A105" s="89">
        <v>1120301</v>
      </c>
      <c r="B105" s="93" t="s">
        <v>642</v>
      </c>
      <c r="C105" s="116">
        <v>2038756.6464444429</v>
      </c>
      <c r="D105" s="71">
        <f t="shared" si="2"/>
        <v>2089725.5626055538</v>
      </c>
      <c r="E105" s="71">
        <f t="shared" si="3"/>
        <v>2139878.9761080872</v>
      </c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spans="1:22" ht="12.75" customHeight="1" x14ac:dyDescent="0.2">
      <c r="A106" s="89">
        <v>1120302</v>
      </c>
      <c r="B106" s="93" t="s">
        <v>646</v>
      </c>
      <c r="C106" s="116">
        <v>1720447.9735116076</v>
      </c>
      <c r="D106" s="71">
        <f t="shared" si="2"/>
        <v>1763459.1728493976</v>
      </c>
      <c r="E106" s="71">
        <f t="shared" si="3"/>
        <v>1805782.1929977832</v>
      </c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spans="1:22" ht="12.75" customHeight="1" x14ac:dyDescent="0.2">
      <c r="A107" s="89">
        <v>1120303</v>
      </c>
      <c r="B107" s="93" t="s">
        <v>647</v>
      </c>
      <c r="C107" s="116">
        <v>1169897.2990689343</v>
      </c>
      <c r="D107" s="71">
        <f t="shared" si="2"/>
        <v>1199144.7315456576</v>
      </c>
      <c r="E107" s="71">
        <f t="shared" si="3"/>
        <v>1227924.2051027534</v>
      </c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spans="1:22" ht="12.75" customHeight="1" x14ac:dyDescent="0.2">
      <c r="A108" s="89">
        <v>1120304</v>
      </c>
      <c r="B108" s="93" t="s">
        <v>648</v>
      </c>
      <c r="C108" s="116">
        <v>1006857.809827758</v>
      </c>
      <c r="D108" s="71">
        <f t="shared" si="2"/>
        <v>1032029.2550734519</v>
      </c>
      <c r="E108" s="71">
        <f t="shared" si="3"/>
        <v>1056797.9571952147</v>
      </c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spans="1:22" ht="12.75" customHeight="1" x14ac:dyDescent="0.2">
      <c r="A109" s="89">
        <v>1120305</v>
      </c>
      <c r="B109" s="93" t="s">
        <v>649</v>
      </c>
      <c r="C109" s="116">
        <v>1079455.3518656862</v>
      </c>
      <c r="D109" s="71">
        <f t="shared" si="2"/>
        <v>1106441.7356623283</v>
      </c>
      <c r="E109" s="71">
        <f t="shared" si="3"/>
        <v>1132996.3373182241</v>
      </c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spans="1:22" ht="12.75" customHeight="1" x14ac:dyDescent="0.2">
      <c r="A110" s="89">
        <v>1120401</v>
      </c>
      <c r="B110" s="93" t="s">
        <v>650</v>
      </c>
      <c r="C110" s="116">
        <v>2137844.008802433</v>
      </c>
      <c r="D110" s="71">
        <f t="shared" si="2"/>
        <v>2191290.1090224935</v>
      </c>
      <c r="E110" s="71">
        <f t="shared" si="3"/>
        <v>2243881.0716390335</v>
      </c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spans="1:22" ht="12.75" customHeight="1" x14ac:dyDescent="0.2">
      <c r="A111" s="89">
        <v>1120402</v>
      </c>
      <c r="B111" s="93" t="s">
        <v>651</v>
      </c>
      <c r="C111" s="116">
        <v>1221804.2662246041</v>
      </c>
      <c r="D111" s="71">
        <f t="shared" si="2"/>
        <v>1252349.372880219</v>
      </c>
      <c r="E111" s="71">
        <f t="shared" si="3"/>
        <v>1282405.7578293444</v>
      </c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spans="1:22" ht="12.75" customHeight="1" x14ac:dyDescent="0.2">
      <c r="A112" s="89">
        <v>1120403</v>
      </c>
      <c r="B112" s="93" t="s">
        <v>652</v>
      </c>
      <c r="C112" s="116">
        <v>1039745.7917539218</v>
      </c>
      <c r="D112" s="71">
        <f t="shared" si="2"/>
        <v>1065739.4365477697</v>
      </c>
      <c r="E112" s="71">
        <f t="shared" si="3"/>
        <v>1091317.1830249161</v>
      </c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spans="1:22" ht="12.75" customHeight="1" x14ac:dyDescent="0.2">
      <c r="A113" s="89">
        <v>1120404</v>
      </c>
      <c r="B113" s="93" t="s">
        <v>653</v>
      </c>
      <c r="C113" s="116">
        <v>977493.54334452876</v>
      </c>
      <c r="D113" s="71">
        <f t="shared" si="2"/>
        <v>1001930.8819281419</v>
      </c>
      <c r="E113" s="71">
        <f t="shared" si="3"/>
        <v>1025977.2230944174</v>
      </c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spans="1:22" ht="12.75" customHeight="1" x14ac:dyDescent="0.2">
      <c r="A114" s="89">
        <v>1120405</v>
      </c>
      <c r="B114" s="93" t="s">
        <v>654</v>
      </c>
      <c r="C114" s="116">
        <v>667093.88523288502</v>
      </c>
      <c r="D114" s="71">
        <f t="shared" si="2"/>
        <v>683771.23236370704</v>
      </c>
      <c r="E114" s="71">
        <f t="shared" si="3"/>
        <v>700181.74194043607</v>
      </c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spans="1:22" ht="12.75" customHeight="1" x14ac:dyDescent="0.2">
      <c r="A115" s="89">
        <v>1120406</v>
      </c>
      <c r="B115" s="93" t="s">
        <v>655</v>
      </c>
      <c r="C115" s="116">
        <v>575477.37034026289</v>
      </c>
      <c r="D115" s="71">
        <f t="shared" si="2"/>
        <v>589864.30459876941</v>
      </c>
      <c r="E115" s="71">
        <f t="shared" si="3"/>
        <v>604021.04790913989</v>
      </c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spans="1:22" ht="12.75" customHeight="1" x14ac:dyDescent="0.2">
      <c r="A116" s="89">
        <v>1120501</v>
      </c>
      <c r="B116" s="93" t="s">
        <v>656</v>
      </c>
      <c r="C116" s="116">
        <v>1623901.7912452845</v>
      </c>
      <c r="D116" s="71">
        <f t="shared" si="2"/>
        <v>1664499.3360264164</v>
      </c>
      <c r="E116" s="71">
        <f t="shared" si="3"/>
        <v>1704447.3200910504</v>
      </c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spans="1:22" ht="12.75" customHeight="1" x14ac:dyDescent="0.2">
      <c r="A117" s="89">
        <v>1120502</v>
      </c>
      <c r="B117" s="93" t="s">
        <v>657</v>
      </c>
      <c r="C117" s="116">
        <v>1679106.6211436202</v>
      </c>
      <c r="D117" s="71">
        <f t="shared" si="2"/>
        <v>1721084.2866722106</v>
      </c>
      <c r="E117" s="71">
        <f t="shared" si="3"/>
        <v>1762390.3095523436</v>
      </c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spans="1:22" ht="12.75" customHeight="1" x14ac:dyDescent="0.2">
      <c r="A118" s="89">
        <v>1120503</v>
      </c>
      <c r="B118" s="93" t="s">
        <v>658</v>
      </c>
      <c r="C118" s="116">
        <v>1274659.9483693789</v>
      </c>
      <c r="D118" s="71">
        <f t="shared" si="2"/>
        <v>1306526.4470786133</v>
      </c>
      <c r="E118" s="71">
        <f t="shared" si="3"/>
        <v>1337883.0818085</v>
      </c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spans="1:22" ht="12.75" customHeight="1" x14ac:dyDescent="0.2">
      <c r="A119" s="89">
        <v>1120504</v>
      </c>
      <c r="B119" s="93" t="s">
        <v>659</v>
      </c>
      <c r="C119" s="116">
        <v>1039745.7917539218</v>
      </c>
      <c r="D119" s="71">
        <f t="shared" si="2"/>
        <v>1065739.4365477697</v>
      </c>
      <c r="E119" s="71">
        <f t="shared" si="3"/>
        <v>1091317.1830249161</v>
      </c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spans="1:22" ht="12.75" customHeight="1" x14ac:dyDescent="0.2">
      <c r="A120" s="89">
        <v>1120601</v>
      </c>
      <c r="B120" s="93" t="s">
        <v>660</v>
      </c>
      <c r="C120" s="116">
        <v>1662893.995859711</v>
      </c>
      <c r="D120" s="71">
        <f t="shared" si="2"/>
        <v>1704466.3457562036</v>
      </c>
      <c r="E120" s="71">
        <f t="shared" si="3"/>
        <v>1745373.5380543526</v>
      </c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spans="1:22" ht="12.75" customHeight="1" x14ac:dyDescent="0.2">
      <c r="A121" s="89">
        <v>1120602</v>
      </c>
      <c r="B121" s="93" t="s">
        <v>661</v>
      </c>
      <c r="C121" s="116">
        <v>1114918.3218708681</v>
      </c>
      <c r="D121" s="71">
        <f t="shared" si="2"/>
        <v>1142791.2799176397</v>
      </c>
      <c r="E121" s="71">
        <f t="shared" si="3"/>
        <v>1170218.2706356631</v>
      </c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spans="1:22" ht="12.75" customHeight="1" x14ac:dyDescent="0.2">
      <c r="A122" s="89">
        <v>1120603</v>
      </c>
      <c r="B122" s="93" t="s">
        <v>662</v>
      </c>
      <c r="C122" s="116">
        <v>943430.99372899067</v>
      </c>
      <c r="D122" s="71">
        <f t="shared" si="2"/>
        <v>967016.76857221534</v>
      </c>
      <c r="E122" s="71">
        <f t="shared" si="3"/>
        <v>990225.17101794854</v>
      </c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spans="1:22" ht="12.75" customHeight="1" x14ac:dyDescent="0.2">
      <c r="A123" s="89">
        <v>1120701</v>
      </c>
      <c r="B123" s="93" t="s">
        <v>663</v>
      </c>
      <c r="C123" s="116">
        <v>1006857.809827758</v>
      </c>
      <c r="D123" s="71">
        <f t="shared" si="2"/>
        <v>1032029.2550734519</v>
      </c>
      <c r="E123" s="71">
        <f t="shared" si="3"/>
        <v>1056797.9571952147</v>
      </c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spans="1:22" ht="12.75" customHeight="1" x14ac:dyDescent="0.2">
      <c r="A124" s="89">
        <v>1120702</v>
      </c>
      <c r="B124" s="93" t="s">
        <v>664</v>
      </c>
      <c r="C124" s="116">
        <v>1965239.7424723131</v>
      </c>
      <c r="D124" s="71">
        <f t="shared" si="2"/>
        <v>2014370.7360341207</v>
      </c>
      <c r="E124" s="71">
        <f t="shared" si="3"/>
        <v>2062715.6336989396</v>
      </c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spans="1:22" ht="12.75" customHeight="1" x14ac:dyDescent="0.2">
      <c r="A125" s="89">
        <v>1120703</v>
      </c>
      <c r="B125" s="93" t="s">
        <v>665</v>
      </c>
      <c r="C125" s="116">
        <v>1114918.3218708681</v>
      </c>
      <c r="D125" s="71">
        <f t="shared" si="2"/>
        <v>1142791.2799176397</v>
      </c>
      <c r="E125" s="71">
        <f t="shared" si="3"/>
        <v>1170218.2706356631</v>
      </c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spans="1:22" ht="12.75" customHeight="1" x14ac:dyDescent="0.2">
      <c r="A126" s="89">
        <v>1120704</v>
      </c>
      <c r="B126" s="93" t="s">
        <v>666</v>
      </c>
      <c r="C126" s="116">
        <v>1006857.809827758</v>
      </c>
      <c r="D126" s="71">
        <f t="shared" si="2"/>
        <v>1032029.2550734519</v>
      </c>
      <c r="E126" s="71">
        <f t="shared" si="3"/>
        <v>1056797.9571952147</v>
      </c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spans="1:22" ht="12.75" customHeight="1" x14ac:dyDescent="0.2">
      <c r="A127" s="89">
        <v>1120705</v>
      </c>
      <c r="B127" s="93" t="s">
        <v>667</v>
      </c>
      <c r="C127" s="116">
        <v>977493.54334452876</v>
      </c>
      <c r="D127" s="71">
        <f t="shared" si="2"/>
        <v>1001930.8819281419</v>
      </c>
      <c r="E127" s="71">
        <f t="shared" si="3"/>
        <v>1025977.2230944174</v>
      </c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spans="1:22" ht="12.75" customHeight="1" x14ac:dyDescent="0.2">
      <c r="A128" s="89">
        <v>1120706</v>
      </c>
      <c r="B128" s="93" t="s">
        <v>668</v>
      </c>
      <c r="C128" s="116">
        <v>1965239.7424723131</v>
      </c>
      <c r="D128" s="71">
        <f t="shared" si="2"/>
        <v>2014370.7360341207</v>
      </c>
      <c r="E128" s="71">
        <f t="shared" si="3"/>
        <v>2062715.6336989396</v>
      </c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spans="1:22" ht="12.75" customHeight="1" x14ac:dyDescent="0.2">
      <c r="A129" s="89">
        <v>1120707</v>
      </c>
      <c r="B129" s="93" t="s">
        <v>669</v>
      </c>
      <c r="C129" s="116">
        <v>1067935.4905477769</v>
      </c>
      <c r="D129" s="71">
        <f t="shared" si="2"/>
        <v>1094633.8778114712</v>
      </c>
      <c r="E129" s="71">
        <f t="shared" si="3"/>
        <v>1120905.0908789465</v>
      </c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spans="1:22" ht="12.75" customHeight="1" x14ac:dyDescent="0.2">
      <c r="A130" s="89">
        <v>1120708</v>
      </c>
      <c r="B130" s="93" t="s">
        <v>670</v>
      </c>
      <c r="C130" s="116">
        <v>977493.54334452876</v>
      </c>
      <c r="D130" s="71">
        <f t="shared" si="2"/>
        <v>1001930.8819281419</v>
      </c>
      <c r="E130" s="71">
        <f t="shared" si="3"/>
        <v>1025977.2230944174</v>
      </c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spans="1:22" ht="12.75" customHeight="1" x14ac:dyDescent="0.2">
      <c r="A131" s="89">
        <v>1120801</v>
      </c>
      <c r="B131" s="93" t="s">
        <v>671</v>
      </c>
      <c r="C131" s="116">
        <v>555509.67012165207</v>
      </c>
      <c r="D131" s="71">
        <f t="shared" si="2"/>
        <v>569397.41187469335</v>
      </c>
      <c r="E131" s="71">
        <f t="shared" si="3"/>
        <v>583062.94975968602</v>
      </c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spans="1:22" ht="12.75" customHeight="1" x14ac:dyDescent="0.2">
      <c r="A132" s="89">
        <v>1120901</v>
      </c>
      <c r="B132" s="93" t="s">
        <v>672</v>
      </c>
      <c r="C132" s="116">
        <v>1039745.7917539218</v>
      </c>
      <c r="D132" s="71">
        <f t="shared" si="2"/>
        <v>1065739.4365477697</v>
      </c>
      <c r="E132" s="71">
        <f t="shared" si="3"/>
        <v>1091317.1830249161</v>
      </c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spans="1:22" ht="12.75" customHeight="1" x14ac:dyDescent="0.2">
      <c r="A133" s="89">
        <v>1120902</v>
      </c>
      <c r="B133" s="93" t="s">
        <v>673</v>
      </c>
      <c r="C133" s="116">
        <v>1167774.0163904557</v>
      </c>
      <c r="D133" s="71">
        <f t="shared" si="2"/>
        <v>1196968.366800217</v>
      </c>
      <c r="E133" s="71">
        <f t="shared" si="3"/>
        <v>1225695.6076034221</v>
      </c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spans="1:22" ht="12.75" customHeight="1" x14ac:dyDescent="0.2">
      <c r="A134" s="89">
        <v>1120903</v>
      </c>
      <c r="B134" s="93" t="s">
        <v>674</v>
      </c>
      <c r="C134" s="116">
        <v>943430.99372899067</v>
      </c>
      <c r="D134" s="71">
        <f t="shared" ref="D134:D197" si="4">IFERROR(C134*(1+$D$1),C134)</f>
        <v>967016.76857221534</v>
      </c>
      <c r="E134" s="71">
        <f t="shared" ref="E134:E197" si="5">IFERROR(D134*(1+$E$1),D134)</f>
        <v>990225.17101794854</v>
      </c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spans="1:22" ht="12.75" customHeight="1" x14ac:dyDescent="0.2">
      <c r="A135" s="89">
        <v>1121001</v>
      </c>
      <c r="B135" s="93" t="s">
        <v>675</v>
      </c>
      <c r="C135" s="116">
        <v>1889586.1662747364</v>
      </c>
      <c r="D135" s="71">
        <f t="shared" si="4"/>
        <v>1936825.8204316047</v>
      </c>
      <c r="E135" s="71">
        <f t="shared" si="5"/>
        <v>1983309.6401219633</v>
      </c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spans="1:22" ht="12.75" customHeight="1" x14ac:dyDescent="0.2">
      <c r="A136" s="89">
        <v>1121002</v>
      </c>
      <c r="B136" s="93" t="s">
        <v>676</v>
      </c>
      <c r="C136" s="116">
        <v>1662893.995859711</v>
      </c>
      <c r="D136" s="71">
        <f t="shared" si="4"/>
        <v>1704466.3457562036</v>
      </c>
      <c r="E136" s="71">
        <f t="shared" si="5"/>
        <v>1745373.5380543526</v>
      </c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spans="1:22" ht="12.75" customHeight="1" x14ac:dyDescent="0.2">
      <c r="A137" s="89">
        <v>1121003</v>
      </c>
      <c r="B137" s="93" t="s">
        <v>677</v>
      </c>
      <c r="C137" s="116">
        <v>1662893.995859711</v>
      </c>
      <c r="D137" s="71">
        <f t="shared" si="4"/>
        <v>1704466.3457562036</v>
      </c>
      <c r="E137" s="71">
        <f t="shared" si="5"/>
        <v>1745373.5380543526</v>
      </c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spans="1:22" ht="12.75" customHeight="1" x14ac:dyDescent="0.2">
      <c r="A138" s="89">
        <v>1121004</v>
      </c>
      <c r="B138" s="93" t="s">
        <v>678</v>
      </c>
      <c r="C138" s="116">
        <v>1610038.3137149364</v>
      </c>
      <c r="D138" s="71">
        <f t="shared" si="4"/>
        <v>1650289.2715578096</v>
      </c>
      <c r="E138" s="71">
        <f t="shared" si="5"/>
        <v>1689896.214075197</v>
      </c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spans="1:22" ht="12.75" customHeight="1" x14ac:dyDescent="0.2">
      <c r="A139" s="89">
        <v>1121005</v>
      </c>
      <c r="B139" s="93" t="s">
        <v>679</v>
      </c>
      <c r="C139" s="116">
        <v>1006857.809827758</v>
      </c>
      <c r="D139" s="71">
        <f t="shared" si="4"/>
        <v>1032029.2550734519</v>
      </c>
      <c r="E139" s="71">
        <f t="shared" si="5"/>
        <v>1056797.9571952147</v>
      </c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spans="1:22" ht="12.75" customHeight="1" x14ac:dyDescent="0.2">
      <c r="A140" s="89">
        <v>1121101</v>
      </c>
      <c r="B140" s="93" t="s">
        <v>680</v>
      </c>
      <c r="C140" s="116">
        <v>1778001.9387886915</v>
      </c>
      <c r="D140" s="71">
        <f t="shared" si="4"/>
        <v>1822451.9872584087</v>
      </c>
      <c r="E140" s="71">
        <f t="shared" si="5"/>
        <v>1866190.8349526105</v>
      </c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spans="1:22" ht="12.75" customHeight="1" x14ac:dyDescent="0.2">
      <c r="A141" s="89">
        <v>1121102</v>
      </c>
      <c r="B141" s="93" t="s">
        <v>681</v>
      </c>
      <c r="C141" s="116">
        <v>2306982.2015655623</v>
      </c>
      <c r="D141" s="71">
        <f t="shared" si="4"/>
        <v>2364656.7566047013</v>
      </c>
      <c r="E141" s="71">
        <f t="shared" si="5"/>
        <v>2421408.5187632143</v>
      </c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spans="1:22" ht="12.75" customHeight="1" x14ac:dyDescent="0.2">
      <c r="A142" s="89">
        <v>1121103</v>
      </c>
      <c r="B142" s="93" t="s">
        <v>682</v>
      </c>
      <c r="C142" s="116">
        <v>1778001.9387886915</v>
      </c>
      <c r="D142" s="71">
        <f t="shared" si="4"/>
        <v>1822451.9872584087</v>
      </c>
      <c r="E142" s="71">
        <f t="shared" si="5"/>
        <v>1866190.8349526105</v>
      </c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spans="1:22" ht="12.75" customHeight="1" x14ac:dyDescent="0.2">
      <c r="A143" s="89">
        <v>1121104</v>
      </c>
      <c r="B143" s="93" t="s">
        <v>683</v>
      </c>
      <c r="C143" s="116">
        <v>1401907.9163373802</v>
      </c>
      <c r="D143" s="71">
        <f t="shared" si="4"/>
        <v>1436955.6142458145</v>
      </c>
      <c r="E143" s="71">
        <f t="shared" si="5"/>
        <v>1471442.5489877141</v>
      </c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spans="1:22" ht="12.75" customHeight="1" x14ac:dyDescent="0.2">
      <c r="A144" s="89">
        <v>1121105</v>
      </c>
      <c r="B144" s="93" t="s">
        <v>684</v>
      </c>
      <c r="C144" s="116">
        <v>1623901.7912452845</v>
      </c>
      <c r="D144" s="71">
        <f t="shared" si="4"/>
        <v>1664499.3360264164</v>
      </c>
      <c r="E144" s="71">
        <f t="shared" si="5"/>
        <v>1704447.3200910504</v>
      </c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spans="1:22" ht="12.75" customHeight="1" x14ac:dyDescent="0.2">
      <c r="A145" s="89">
        <v>1121106</v>
      </c>
      <c r="B145" s="93" t="s">
        <v>685</v>
      </c>
      <c r="C145" s="116">
        <v>1735486.0187313298</v>
      </c>
      <c r="D145" s="71">
        <f t="shared" si="4"/>
        <v>1778873.1691996129</v>
      </c>
      <c r="E145" s="71">
        <f t="shared" si="5"/>
        <v>1821566.1252604036</v>
      </c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spans="1:22" ht="12.75" customHeight="1" x14ac:dyDescent="0.2">
      <c r="A146" s="89">
        <v>1121107</v>
      </c>
      <c r="B146" s="93" t="s">
        <v>686</v>
      </c>
      <c r="C146" s="116">
        <v>1006857.809827758</v>
      </c>
      <c r="D146" s="71">
        <f t="shared" si="4"/>
        <v>1032029.2550734519</v>
      </c>
      <c r="E146" s="71">
        <f t="shared" si="5"/>
        <v>1056797.9571952147</v>
      </c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spans="1:22" ht="12.75" customHeight="1" x14ac:dyDescent="0.2">
      <c r="A147" s="89">
        <v>1121201</v>
      </c>
      <c r="B147" s="93" t="s">
        <v>687</v>
      </c>
      <c r="C147" s="116">
        <v>1006857.809827758</v>
      </c>
      <c r="D147" s="71">
        <f t="shared" si="4"/>
        <v>1032029.2550734519</v>
      </c>
      <c r="E147" s="71">
        <f t="shared" si="5"/>
        <v>1056797.9571952147</v>
      </c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spans="1:22" ht="12.75" customHeight="1" x14ac:dyDescent="0.2">
      <c r="A148" s="89">
        <v>1121202</v>
      </c>
      <c r="B148" s="93" t="s">
        <v>688</v>
      </c>
      <c r="C148" s="116">
        <v>1067935.4905477769</v>
      </c>
      <c r="D148" s="71">
        <f t="shared" si="4"/>
        <v>1094633.8778114712</v>
      </c>
      <c r="E148" s="71">
        <f t="shared" si="5"/>
        <v>1120905.0908789465</v>
      </c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spans="1:22" ht="12.75" customHeight="1" x14ac:dyDescent="0.2">
      <c r="A149" s="89">
        <v>1121203</v>
      </c>
      <c r="B149" s="93" t="s">
        <v>689</v>
      </c>
      <c r="C149" s="116">
        <v>943430.99372899067</v>
      </c>
      <c r="D149" s="71">
        <f t="shared" si="4"/>
        <v>967016.76857221534</v>
      </c>
      <c r="E149" s="71">
        <f t="shared" si="5"/>
        <v>990225.17101794854</v>
      </c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spans="1:22" ht="12.75" customHeight="1" x14ac:dyDescent="0.2">
      <c r="A150" s="89">
        <v>1121204</v>
      </c>
      <c r="B150" s="93" t="s">
        <v>690</v>
      </c>
      <c r="C150" s="116">
        <v>977493.54334452876</v>
      </c>
      <c r="D150" s="71">
        <f t="shared" si="4"/>
        <v>1001930.8819281419</v>
      </c>
      <c r="E150" s="71">
        <f t="shared" si="5"/>
        <v>1025977.2230944174</v>
      </c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spans="1:22" ht="12.75" customHeight="1" x14ac:dyDescent="0.2">
      <c r="A151" s="89">
        <v>1121301</v>
      </c>
      <c r="B151" s="93" t="s">
        <v>642</v>
      </c>
      <c r="C151" s="116">
        <v>930510.71202143736</v>
      </c>
      <c r="D151" s="71">
        <f t="shared" si="4"/>
        <v>953773.47982197325</v>
      </c>
      <c r="E151" s="71">
        <f t="shared" si="5"/>
        <v>976664.04333770066</v>
      </c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ht="12.75" customHeight="1" x14ac:dyDescent="0.2">
      <c r="A152" s="89">
        <v>1121302</v>
      </c>
      <c r="B152" s="93" t="s">
        <v>691</v>
      </c>
      <c r="C152" s="116">
        <v>909368.44411345245</v>
      </c>
      <c r="D152" s="71">
        <f t="shared" si="4"/>
        <v>932102.65521628864</v>
      </c>
      <c r="E152" s="71">
        <f t="shared" si="5"/>
        <v>954473.1189414796</v>
      </c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spans="1:22" ht="12.75" customHeight="1" x14ac:dyDescent="0.2">
      <c r="A153" s="89">
        <v>1121303</v>
      </c>
      <c r="B153" s="93" t="s">
        <v>692</v>
      </c>
      <c r="C153" s="116">
        <v>896448.16240589914</v>
      </c>
      <c r="D153" s="71">
        <f t="shared" si="4"/>
        <v>918859.36646604654</v>
      </c>
      <c r="E153" s="71">
        <f t="shared" si="5"/>
        <v>940911.99126123171</v>
      </c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spans="1:22" ht="12.75" customHeight="1" x14ac:dyDescent="0.2">
      <c r="A154" s="89">
        <v>1121304</v>
      </c>
      <c r="B154" s="93" t="s">
        <v>693</v>
      </c>
      <c r="C154" s="116">
        <v>575477.37034026289</v>
      </c>
      <c r="D154" s="71">
        <f t="shared" si="4"/>
        <v>589864.30459876941</v>
      </c>
      <c r="E154" s="71">
        <f t="shared" si="5"/>
        <v>604021.04790913989</v>
      </c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spans="1:22" ht="12.75" customHeight="1" x14ac:dyDescent="0.2">
      <c r="A155" s="89">
        <v>1121305</v>
      </c>
      <c r="B155" s="93" t="s">
        <v>642</v>
      </c>
      <c r="C155" s="116">
        <v>2076823.969958358</v>
      </c>
      <c r="D155" s="71">
        <f t="shared" si="4"/>
        <v>2128744.5692073167</v>
      </c>
      <c r="E155" s="71">
        <f t="shared" si="5"/>
        <v>2179834.4388682926</v>
      </c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spans="1:22" ht="12.75" customHeight="1" x14ac:dyDescent="0.2">
      <c r="A156" s="89">
        <v>1121306</v>
      </c>
      <c r="B156" s="93" t="s">
        <v>691</v>
      </c>
      <c r="C156" s="116">
        <v>2195397.9740795167</v>
      </c>
      <c r="D156" s="71">
        <f t="shared" si="4"/>
        <v>2250282.9234315045</v>
      </c>
      <c r="E156" s="71">
        <f t="shared" si="5"/>
        <v>2304289.7135938606</v>
      </c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spans="1:22" ht="12.75" customHeight="1" x14ac:dyDescent="0.2">
      <c r="A157" s="89">
        <v>1121307</v>
      </c>
      <c r="B157" s="93" t="s">
        <v>694</v>
      </c>
      <c r="C157" s="116">
        <v>1039745.7917539218</v>
      </c>
      <c r="D157" s="71">
        <f t="shared" si="4"/>
        <v>1065739.4365477697</v>
      </c>
      <c r="E157" s="71">
        <f t="shared" si="5"/>
        <v>1091317.1830249161</v>
      </c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spans="1:22" ht="12.75" customHeight="1" x14ac:dyDescent="0.2">
      <c r="A158" s="89">
        <v>1121308</v>
      </c>
      <c r="B158" s="93" t="s">
        <v>695</v>
      </c>
      <c r="C158" s="116">
        <v>977493.54334452876</v>
      </c>
      <c r="D158" s="71">
        <f t="shared" si="4"/>
        <v>1001930.8819281419</v>
      </c>
      <c r="E158" s="71">
        <f t="shared" si="5"/>
        <v>1025977.2230944174</v>
      </c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spans="1:22" ht="12.75" customHeight="1" x14ac:dyDescent="0.2">
      <c r="A159" s="89">
        <v>1121401</v>
      </c>
      <c r="B159" s="93" t="s">
        <v>696</v>
      </c>
      <c r="C159" s="116">
        <v>1114918.3218708681</v>
      </c>
      <c r="D159" s="71">
        <f t="shared" si="4"/>
        <v>1142791.2799176397</v>
      </c>
      <c r="E159" s="71">
        <f t="shared" si="5"/>
        <v>1170218.2706356631</v>
      </c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spans="1:22" ht="12.75" customHeight="1" x14ac:dyDescent="0.2">
      <c r="A160" s="89">
        <v>1121402</v>
      </c>
      <c r="B160" s="93" t="s">
        <v>697</v>
      </c>
      <c r="C160" s="116">
        <v>977493.54334452876</v>
      </c>
      <c r="D160" s="71">
        <f t="shared" si="4"/>
        <v>1001930.8819281419</v>
      </c>
      <c r="E160" s="71">
        <f t="shared" si="5"/>
        <v>1025977.2230944174</v>
      </c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spans="1:22" ht="12.75" customHeight="1" x14ac:dyDescent="0.2">
      <c r="A161" s="89">
        <v>1121501</v>
      </c>
      <c r="B161" s="93" t="s">
        <v>698</v>
      </c>
      <c r="C161" s="116">
        <v>943430.99372899067</v>
      </c>
      <c r="D161" s="71">
        <f t="shared" si="4"/>
        <v>967016.76857221534</v>
      </c>
      <c r="E161" s="71">
        <f t="shared" si="5"/>
        <v>990225.17101794854</v>
      </c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spans="1:22" ht="12.75" customHeight="1" x14ac:dyDescent="0.2">
      <c r="A162" s="89">
        <v>1121502</v>
      </c>
      <c r="B162" s="93" t="s">
        <v>699</v>
      </c>
      <c r="C162" s="116">
        <v>1006857.809827758</v>
      </c>
      <c r="D162" s="71">
        <f t="shared" si="4"/>
        <v>1032029.2550734519</v>
      </c>
      <c r="E162" s="71">
        <f t="shared" si="5"/>
        <v>1056797.9571952147</v>
      </c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spans="1:22" ht="12.75" customHeight="1" x14ac:dyDescent="0.2">
      <c r="A163" s="89">
        <v>1121503</v>
      </c>
      <c r="B163" s="93" t="s">
        <v>700</v>
      </c>
      <c r="C163" s="116">
        <v>1067935.4905477769</v>
      </c>
      <c r="D163" s="71">
        <f t="shared" si="4"/>
        <v>1094633.8778114712</v>
      </c>
      <c r="E163" s="71">
        <f t="shared" si="5"/>
        <v>1120905.0908789465</v>
      </c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spans="1:22" ht="12.75" customHeight="1" x14ac:dyDescent="0.2">
      <c r="A164" s="89">
        <v>1121504</v>
      </c>
      <c r="B164" s="93" t="s">
        <v>701</v>
      </c>
      <c r="C164" s="116">
        <v>977493.54334452876</v>
      </c>
      <c r="D164" s="71">
        <f t="shared" si="4"/>
        <v>1001930.8819281419</v>
      </c>
      <c r="E164" s="71">
        <f t="shared" si="5"/>
        <v>1025977.2230944174</v>
      </c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spans="1:22" ht="12.75" customHeight="1" x14ac:dyDescent="0.2">
      <c r="A165" s="89">
        <v>1121505</v>
      </c>
      <c r="B165" s="93" t="s">
        <v>700</v>
      </c>
      <c r="C165" s="116">
        <v>1006857.809827758</v>
      </c>
      <c r="D165" s="71">
        <f t="shared" si="4"/>
        <v>1032029.2550734519</v>
      </c>
      <c r="E165" s="71">
        <f t="shared" si="5"/>
        <v>1056797.9571952147</v>
      </c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spans="1:22" ht="12.75" customHeight="1" x14ac:dyDescent="0.2">
      <c r="A166" s="89">
        <v>1121506</v>
      </c>
      <c r="B166" s="93" t="s">
        <v>702</v>
      </c>
      <c r="C166" s="116">
        <v>977493.54334452876</v>
      </c>
      <c r="D166" s="71">
        <f t="shared" si="4"/>
        <v>1001930.8819281419</v>
      </c>
      <c r="E166" s="71">
        <f t="shared" si="5"/>
        <v>1025977.2230944174</v>
      </c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spans="1:22" ht="12.75" customHeight="1" x14ac:dyDescent="0.2">
      <c r="A167" s="89">
        <v>1121507</v>
      </c>
      <c r="B167" s="93" t="s">
        <v>700</v>
      </c>
      <c r="C167" s="116">
        <v>1039745.7917539218</v>
      </c>
      <c r="D167" s="71">
        <f t="shared" si="4"/>
        <v>1065739.4365477697</v>
      </c>
      <c r="E167" s="71">
        <f t="shared" si="5"/>
        <v>1091317.1830249161</v>
      </c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spans="1:22" ht="12.75" customHeight="1" x14ac:dyDescent="0.2">
      <c r="A168" s="89">
        <v>1121508</v>
      </c>
      <c r="B168" s="93" t="s">
        <v>703</v>
      </c>
      <c r="C168" s="116">
        <v>1623901.7912452845</v>
      </c>
      <c r="D168" s="71">
        <f t="shared" si="4"/>
        <v>1664499.3360264164</v>
      </c>
      <c r="E168" s="71">
        <f t="shared" si="5"/>
        <v>1704447.3200910504</v>
      </c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spans="1:22" ht="12.75" customHeight="1" x14ac:dyDescent="0.2">
      <c r="A169" s="89">
        <v>1121509</v>
      </c>
      <c r="B169" s="93" t="s">
        <v>704</v>
      </c>
      <c r="C169" s="116">
        <v>603667.06913411769</v>
      </c>
      <c r="D169" s="71">
        <f t="shared" si="4"/>
        <v>618758.74586247059</v>
      </c>
      <c r="E169" s="71">
        <f t="shared" si="5"/>
        <v>633608.95576316991</v>
      </c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spans="1:22" ht="12.75" customHeight="1" x14ac:dyDescent="0.2">
      <c r="A170" s="89">
        <v>1121601</v>
      </c>
      <c r="B170" s="93" t="s">
        <v>705</v>
      </c>
      <c r="C170" s="116">
        <v>2225994.450128064</v>
      </c>
      <c r="D170" s="71">
        <f t="shared" si="4"/>
        <v>2281644.3113812655</v>
      </c>
      <c r="E170" s="71">
        <f t="shared" si="5"/>
        <v>2336403.774854416</v>
      </c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spans="1:22" ht="12.75" customHeight="1" x14ac:dyDescent="0.2">
      <c r="A171" s="89">
        <v>1121602</v>
      </c>
      <c r="B171" s="93" t="s">
        <v>706</v>
      </c>
      <c r="C171" s="116">
        <v>1332213.9260212756</v>
      </c>
      <c r="D171" s="71">
        <f t="shared" si="4"/>
        <v>1365519.2741718073</v>
      </c>
      <c r="E171" s="71">
        <f t="shared" si="5"/>
        <v>1398291.7367519308</v>
      </c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spans="1:22" ht="12.75" customHeight="1" x14ac:dyDescent="0.2">
      <c r="A172" s="89">
        <v>1121603</v>
      </c>
      <c r="B172" s="93" t="s">
        <v>707</v>
      </c>
      <c r="C172" s="116">
        <v>1067935.4905477769</v>
      </c>
      <c r="D172" s="71">
        <f t="shared" si="4"/>
        <v>1094633.8778114712</v>
      </c>
      <c r="E172" s="71">
        <f t="shared" si="5"/>
        <v>1120905.0908789465</v>
      </c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spans="1:22" ht="12.75" customHeight="1" x14ac:dyDescent="0.2">
      <c r="A173" s="89">
        <v>1121604</v>
      </c>
      <c r="B173" s="93" t="s">
        <v>708</v>
      </c>
      <c r="C173" s="116">
        <v>2341102.3930570446</v>
      </c>
      <c r="D173" s="71">
        <f t="shared" si="4"/>
        <v>2399629.9528834703</v>
      </c>
      <c r="E173" s="71">
        <f t="shared" si="5"/>
        <v>2457221.0717526735</v>
      </c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spans="1:22" ht="12.75" customHeight="1" x14ac:dyDescent="0.2">
      <c r="A174" s="89">
        <v>1121605</v>
      </c>
      <c r="B174" s="93" t="s">
        <v>675</v>
      </c>
      <c r="C174" s="116">
        <v>2076823.969958358</v>
      </c>
      <c r="D174" s="71">
        <f t="shared" si="4"/>
        <v>2128744.5692073167</v>
      </c>
      <c r="E174" s="71">
        <f t="shared" si="5"/>
        <v>2179834.4388682926</v>
      </c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spans="1:22" ht="12.75" customHeight="1" x14ac:dyDescent="0.2">
      <c r="A175" s="89">
        <v>1121606</v>
      </c>
      <c r="B175" s="93" t="s">
        <v>709</v>
      </c>
      <c r="C175" s="116">
        <v>1401907.9163373802</v>
      </c>
      <c r="D175" s="71">
        <f t="shared" si="4"/>
        <v>1436955.6142458145</v>
      </c>
      <c r="E175" s="71">
        <f t="shared" si="5"/>
        <v>1471442.5489877141</v>
      </c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spans="1:22" ht="12.75" customHeight="1" x14ac:dyDescent="0.2">
      <c r="A176" s="89">
        <v>1121607</v>
      </c>
      <c r="B176" s="93" t="s">
        <v>710</v>
      </c>
      <c r="C176" s="116">
        <v>1039745.7917539218</v>
      </c>
      <c r="D176" s="71">
        <f t="shared" si="4"/>
        <v>1065739.4365477697</v>
      </c>
      <c r="E176" s="71">
        <f t="shared" si="5"/>
        <v>1091317.1830249161</v>
      </c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spans="1:22" ht="12.75" customHeight="1" x14ac:dyDescent="0.2">
      <c r="A177" s="89">
        <v>1121608</v>
      </c>
      <c r="B177" s="93" t="s">
        <v>711</v>
      </c>
      <c r="C177" s="116">
        <v>684712.45007274731</v>
      </c>
      <c r="D177" s="71">
        <f t="shared" si="4"/>
        <v>701830.26132456597</v>
      </c>
      <c r="E177" s="71">
        <f t="shared" si="5"/>
        <v>718674.18759635556</v>
      </c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spans="1:22" ht="12.75" customHeight="1" x14ac:dyDescent="0.2">
      <c r="A178" s="89">
        <v>1121609</v>
      </c>
      <c r="B178" s="93" t="s">
        <v>712</v>
      </c>
      <c r="C178" s="116">
        <v>650649.90045720921</v>
      </c>
      <c r="D178" s="71">
        <f t="shared" si="4"/>
        <v>666916.14796863939</v>
      </c>
      <c r="E178" s="71">
        <f t="shared" si="5"/>
        <v>682922.13551988674</v>
      </c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spans="1:22" ht="12.75" customHeight="1" x14ac:dyDescent="0.2">
      <c r="A179" s="89">
        <v>1121701</v>
      </c>
      <c r="B179" s="93" t="s">
        <v>713</v>
      </c>
      <c r="C179" s="116">
        <v>2076823.969958358</v>
      </c>
      <c r="D179" s="71">
        <f t="shared" si="4"/>
        <v>2128744.5692073167</v>
      </c>
      <c r="E179" s="71">
        <f t="shared" si="5"/>
        <v>2179834.4388682926</v>
      </c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spans="1:22" ht="12.75" customHeight="1" x14ac:dyDescent="0.2">
      <c r="A180" s="89">
        <v>1121702</v>
      </c>
      <c r="B180" s="93" t="s">
        <v>714</v>
      </c>
      <c r="C180" s="116">
        <v>2185275.9963147179</v>
      </c>
      <c r="D180" s="71">
        <f t="shared" si="4"/>
        <v>2239907.8962225858</v>
      </c>
      <c r="E180" s="71">
        <f t="shared" si="5"/>
        <v>2293665.6857319279</v>
      </c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spans="1:22" ht="12.75" customHeight="1" x14ac:dyDescent="0.2">
      <c r="A181" s="89">
        <v>1121703</v>
      </c>
      <c r="B181" s="93" t="s">
        <v>715</v>
      </c>
      <c r="C181" s="116">
        <v>1446541.5999069111</v>
      </c>
      <c r="D181" s="71">
        <f t="shared" si="4"/>
        <v>1482705.1399045838</v>
      </c>
      <c r="E181" s="71">
        <f t="shared" si="5"/>
        <v>1518290.0632622938</v>
      </c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spans="1:22" ht="12.75" customHeight="1" x14ac:dyDescent="0.2">
      <c r="A182" s="89">
        <v>1121704</v>
      </c>
      <c r="B182" s="93" t="s">
        <v>716</v>
      </c>
      <c r="C182" s="116">
        <v>1006857.809827758</v>
      </c>
      <c r="D182" s="71">
        <f t="shared" si="4"/>
        <v>1032029.2550734519</v>
      </c>
      <c r="E182" s="71">
        <f t="shared" si="5"/>
        <v>1056797.9571952147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spans="1:22" ht="12.75" customHeight="1" x14ac:dyDescent="0.2">
      <c r="A183" s="89">
        <v>1121705</v>
      </c>
      <c r="B183" s="93" t="s">
        <v>717</v>
      </c>
      <c r="C183" s="116">
        <v>1401907.9163373802</v>
      </c>
      <c r="D183" s="71">
        <f t="shared" si="4"/>
        <v>1436955.6142458145</v>
      </c>
      <c r="E183" s="71">
        <f t="shared" si="5"/>
        <v>1471442.5489877141</v>
      </c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spans="1:22" ht="12.75" customHeight="1" x14ac:dyDescent="0.2">
      <c r="A184" s="89">
        <v>1121706</v>
      </c>
      <c r="B184" s="93" t="s">
        <v>718</v>
      </c>
      <c r="C184" s="116">
        <v>1167774.0163904557</v>
      </c>
      <c r="D184" s="71">
        <f t="shared" si="4"/>
        <v>1196968.366800217</v>
      </c>
      <c r="E184" s="71">
        <f t="shared" si="5"/>
        <v>1225695.6076034221</v>
      </c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spans="1:22" ht="12.75" customHeight="1" x14ac:dyDescent="0.2">
      <c r="A185" s="89">
        <v>1121707</v>
      </c>
      <c r="B185" s="93" t="s">
        <v>719</v>
      </c>
      <c r="C185" s="116">
        <v>977493.54334452876</v>
      </c>
      <c r="D185" s="71">
        <f t="shared" si="4"/>
        <v>1001930.8819281419</v>
      </c>
      <c r="E185" s="71">
        <f t="shared" si="5"/>
        <v>1025977.2230944174</v>
      </c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spans="1:22" ht="12.75" customHeight="1" x14ac:dyDescent="0.2">
      <c r="A186" s="89">
        <v>1121708</v>
      </c>
      <c r="B186" s="93" t="s">
        <v>720</v>
      </c>
      <c r="C186" s="116">
        <v>1067935.4905477769</v>
      </c>
      <c r="D186" s="71">
        <f t="shared" si="4"/>
        <v>1094633.8778114712</v>
      </c>
      <c r="E186" s="71">
        <f t="shared" si="5"/>
        <v>1120905.0908789465</v>
      </c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spans="1:22" ht="12.75" customHeight="1" x14ac:dyDescent="0.2">
      <c r="A187" s="89">
        <v>1121709</v>
      </c>
      <c r="B187" s="93" t="s">
        <v>721</v>
      </c>
      <c r="C187" s="116">
        <v>1261739.6790366382</v>
      </c>
      <c r="D187" s="71">
        <f t="shared" si="4"/>
        <v>1293283.1710125541</v>
      </c>
      <c r="E187" s="71">
        <f t="shared" si="5"/>
        <v>1324321.9671168553</v>
      </c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spans="1:22" ht="12.75" customHeight="1" x14ac:dyDescent="0.2">
      <c r="A188" s="89">
        <v>1121710</v>
      </c>
      <c r="B188" s="93" t="s">
        <v>722</v>
      </c>
      <c r="C188" s="116">
        <v>977493.54334452876</v>
      </c>
      <c r="D188" s="71">
        <f t="shared" si="4"/>
        <v>1001930.8819281419</v>
      </c>
      <c r="E188" s="71">
        <f t="shared" si="5"/>
        <v>1025977.2230944174</v>
      </c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spans="1:22" ht="12.75" customHeight="1" x14ac:dyDescent="0.2">
      <c r="A189" s="89">
        <v>1121711</v>
      </c>
      <c r="B189" s="93" t="s">
        <v>723</v>
      </c>
      <c r="C189" s="116">
        <v>1006857.809827758</v>
      </c>
      <c r="D189" s="71">
        <f t="shared" si="4"/>
        <v>1032029.2550734519</v>
      </c>
      <c r="E189" s="71">
        <f t="shared" si="5"/>
        <v>1056797.9571952147</v>
      </c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spans="1:22" ht="12.75" customHeight="1" x14ac:dyDescent="0.2">
      <c r="A190" s="89">
        <v>1121712</v>
      </c>
      <c r="B190" s="93" t="s">
        <v>724</v>
      </c>
      <c r="C190" s="116">
        <v>1833755.6411141679</v>
      </c>
      <c r="D190" s="71">
        <f t="shared" si="4"/>
        <v>1879599.5321420219</v>
      </c>
      <c r="E190" s="71">
        <f t="shared" si="5"/>
        <v>1924709.9209134304</v>
      </c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spans="1:22" ht="12.75" customHeight="1" x14ac:dyDescent="0.2">
      <c r="A191" s="89">
        <v>1121713</v>
      </c>
      <c r="B191" s="93" t="s">
        <v>725</v>
      </c>
      <c r="C191" s="116">
        <v>1405037.3083846613</v>
      </c>
      <c r="D191" s="71">
        <f t="shared" si="4"/>
        <v>1440163.2410942777</v>
      </c>
      <c r="E191" s="71">
        <f t="shared" si="5"/>
        <v>1474727.1588805404</v>
      </c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spans="1:22" ht="12.75" customHeight="1" x14ac:dyDescent="0.2">
      <c r="A192" s="89">
        <v>1121714</v>
      </c>
      <c r="B192" s="93" t="s">
        <v>726</v>
      </c>
      <c r="C192" s="116">
        <v>937245.17152806721</v>
      </c>
      <c r="D192" s="71">
        <f t="shared" si="4"/>
        <v>960676.30081626878</v>
      </c>
      <c r="E192" s="71">
        <f t="shared" si="5"/>
        <v>983732.5320358593</v>
      </c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spans="1:22" ht="12.75" customHeight="1" x14ac:dyDescent="0.2">
      <c r="A193" s="89">
        <v>1121715</v>
      </c>
      <c r="B193" s="93" t="s">
        <v>727</v>
      </c>
      <c r="C193" s="116">
        <v>2225994.450128064</v>
      </c>
      <c r="D193" s="71">
        <f t="shared" si="4"/>
        <v>2281644.3113812655</v>
      </c>
      <c r="E193" s="71">
        <f t="shared" si="5"/>
        <v>2336403.774854416</v>
      </c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spans="1:22" ht="12.75" customHeight="1" x14ac:dyDescent="0.2">
      <c r="A194" s="89">
        <v>1121716</v>
      </c>
      <c r="B194" s="93" t="s">
        <v>728</v>
      </c>
      <c r="C194" s="116">
        <v>1884656.4989010359</v>
      </c>
      <c r="D194" s="71">
        <f t="shared" si="4"/>
        <v>1931772.9113735617</v>
      </c>
      <c r="E194" s="71">
        <f t="shared" si="5"/>
        <v>1978135.4612465273</v>
      </c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spans="1:22" ht="12.75" customHeight="1" x14ac:dyDescent="0.2">
      <c r="A195" s="89">
        <v>1121717</v>
      </c>
      <c r="B195" s="93" t="s">
        <v>729</v>
      </c>
      <c r="C195" s="116">
        <v>1884656.4989010359</v>
      </c>
      <c r="D195" s="71">
        <f t="shared" si="4"/>
        <v>1931772.9113735617</v>
      </c>
      <c r="E195" s="71">
        <f t="shared" si="5"/>
        <v>1978135.4612465273</v>
      </c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spans="1:22" ht="12.75" customHeight="1" x14ac:dyDescent="0.2">
      <c r="A196" s="89">
        <v>1121718</v>
      </c>
      <c r="B196" s="93" t="s">
        <v>730</v>
      </c>
      <c r="C196" s="116">
        <v>1884656.4989010359</v>
      </c>
      <c r="D196" s="71">
        <f t="shared" si="4"/>
        <v>1931772.9113735617</v>
      </c>
      <c r="E196" s="71">
        <f t="shared" si="5"/>
        <v>1978135.4612465273</v>
      </c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spans="1:22" ht="12.75" customHeight="1" x14ac:dyDescent="0.2">
      <c r="A197" s="89">
        <v>1121719</v>
      </c>
      <c r="B197" s="93" t="s">
        <v>731</v>
      </c>
      <c r="C197" s="116">
        <v>1446541.5999069111</v>
      </c>
      <c r="D197" s="71">
        <f t="shared" si="4"/>
        <v>1482705.1399045838</v>
      </c>
      <c r="E197" s="71">
        <f t="shared" si="5"/>
        <v>1518290.0632622938</v>
      </c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spans="1:22" ht="12.75" customHeight="1" x14ac:dyDescent="0.2">
      <c r="A198" s="89">
        <v>1121720</v>
      </c>
      <c r="B198" s="93" t="s">
        <v>732</v>
      </c>
      <c r="C198" s="116">
        <v>1067935.4905477769</v>
      </c>
      <c r="D198" s="71">
        <f t="shared" ref="D198:D261" si="6">IFERROR(C198*(1+$D$1),C198)</f>
        <v>1094633.8778114712</v>
      </c>
      <c r="E198" s="71">
        <f t="shared" ref="E198:E261" si="7">IFERROR(D198*(1+$E$1),D198)</f>
        <v>1120905.0908789465</v>
      </c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spans="1:22" ht="12.75" customHeight="1" x14ac:dyDescent="0.2">
      <c r="A199" s="89">
        <v>1121721</v>
      </c>
      <c r="B199" s="93" t="s">
        <v>733</v>
      </c>
      <c r="C199" s="116">
        <v>1261739.6790366382</v>
      </c>
      <c r="D199" s="71">
        <f t="shared" si="6"/>
        <v>1293283.1710125541</v>
      </c>
      <c r="E199" s="71">
        <f t="shared" si="7"/>
        <v>1324321.9671168553</v>
      </c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spans="1:22" ht="12.75" customHeight="1" x14ac:dyDescent="0.2">
      <c r="A200" s="89">
        <v>1121722</v>
      </c>
      <c r="B200" s="93" t="s">
        <v>734</v>
      </c>
      <c r="C200" s="116">
        <v>1167774.0163904557</v>
      </c>
      <c r="D200" s="71">
        <f t="shared" si="6"/>
        <v>1196968.366800217</v>
      </c>
      <c r="E200" s="71">
        <f t="shared" si="7"/>
        <v>1225695.6076034221</v>
      </c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spans="1:22" ht="12.75" customHeight="1" x14ac:dyDescent="0.2">
      <c r="A201" s="89">
        <v>1121723</v>
      </c>
      <c r="B201" s="93" t="s">
        <v>735</v>
      </c>
      <c r="C201" s="116">
        <v>1261739.6790366382</v>
      </c>
      <c r="D201" s="71">
        <f t="shared" si="6"/>
        <v>1293283.1710125541</v>
      </c>
      <c r="E201" s="71">
        <f t="shared" si="7"/>
        <v>1324321.9671168553</v>
      </c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spans="1:22" ht="12.75" customHeight="1" x14ac:dyDescent="0.2">
      <c r="A202" s="89">
        <v>1121724</v>
      </c>
      <c r="B202" s="93" t="s">
        <v>736</v>
      </c>
      <c r="C202" s="116">
        <v>977493.54334452876</v>
      </c>
      <c r="D202" s="71">
        <f t="shared" si="6"/>
        <v>1001930.8819281419</v>
      </c>
      <c r="E202" s="71">
        <f t="shared" si="7"/>
        <v>1025977.2230944174</v>
      </c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spans="1:22" ht="12.75" customHeight="1" x14ac:dyDescent="0.2">
      <c r="A203" s="89">
        <v>1121725</v>
      </c>
      <c r="B203" s="93" t="s">
        <v>737</v>
      </c>
      <c r="C203" s="116">
        <v>1167774.0163904557</v>
      </c>
      <c r="D203" s="71">
        <f t="shared" si="6"/>
        <v>1196968.366800217</v>
      </c>
      <c r="E203" s="71">
        <f t="shared" si="7"/>
        <v>1225695.6076034221</v>
      </c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spans="1:22" ht="12.75" customHeight="1" x14ac:dyDescent="0.2">
      <c r="A204" s="89">
        <v>1121726</v>
      </c>
      <c r="B204" s="93" t="s">
        <v>738</v>
      </c>
      <c r="C204" s="116">
        <v>1401907.9163373802</v>
      </c>
      <c r="D204" s="71">
        <f t="shared" si="6"/>
        <v>1436955.6142458145</v>
      </c>
      <c r="E204" s="71">
        <f t="shared" si="7"/>
        <v>1471442.5489877141</v>
      </c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spans="1:22" ht="12.75" customHeight="1" x14ac:dyDescent="0.2">
      <c r="A205" s="89">
        <v>1121727</v>
      </c>
      <c r="B205" s="93" t="s">
        <v>739</v>
      </c>
      <c r="C205" s="116">
        <v>977493.54334452876</v>
      </c>
      <c r="D205" s="71">
        <f t="shared" si="6"/>
        <v>1001930.8819281419</v>
      </c>
      <c r="E205" s="71">
        <f t="shared" si="7"/>
        <v>1025977.2230944174</v>
      </c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spans="1:22" ht="12.75" customHeight="1" x14ac:dyDescent="0.2">
      <c r="A206" s="89">
        <v>1121728</v>
      </c>
      <c r="B206" s="93" t="s">
        <v>740</v>
      </c>
      <c r="C206" s="116">
        <v>684712.45007274731</v>
      </c>
      <c r="D206" s="71">
        <f t="shared" si="6"/>
        <v>701830.26132456597</v>
      </c>
      <c r="E206" s="71">
        <f t="shared" si="7"/>
        <v>718674.18759635556</v>
      </c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spans="1:22" ht="12.75" customHeight="1" x14ac:dyDescent="0.2">
      <c r="A207" s="89">
        <v>1121801</v>
      </c>
      <c r="B207" s="93" t="s">
        <v>741</v>
      </c>
      <c r="C207" s="116">
        <v>555509.67012165207</v>
      </c>
      <c r="D207" s="71">
        <f t="shared" si="6"/>
        <v>569397.41187469335</v>
      </c>
      <c r="E207" s="71">
        <f t="shared" si="7"/>
        <v>583062.94975968602</v>
      </c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spans="1:22" ht="12.75" customHeight="1" x14ac:dyDescent="0.2">
      <c r="A208" s="89">
        <v>1121802</v>
      </c>
      <c r="B208" s="93" t="s">
        <v>742</v>
      </c>
      <c r="C208" s="116">
        <v>575477.37034026289</v>
      </c>
      <c r="D208" s="71">
        <f t="shared" si="6"/>
        <v>589864.30459876941</v>
      </c>
      <c r="E208" s="71">
        <f t="shared" si="7"/>
        <v>604021.04790913989</v>
      </c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spans="1:22" ht="12.75" customHeight="1" x14ac:dyDescent="0.2">
      <c r="A209" s="89">
        <v>1130101</v>
      </c>
      <c r="B209" s="93" t="s">
        <v>743</v>
      </c>
      <c r="C209" s="116">
        <v>1006857.809827758</v>
      </c>
      <c r="D209" s="71">
        <f t="shared" si="6"/>
        <v>1032029.2550734519</v>
      </c>
      <c r="E209" s="71">
        <f t="shared" si="7"/>
        <v>1056797.9571952147</v>
      </c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spans="1:22" ht="12.75" customHeight="1" x14ac:dyDescent="0.2">
      <c r="A210" s="89">
        <v>1130102</v>
      </c>
      <c r="B210" s="93" t="s">
        <v>744</v>
      </c>
      <c r="C210" s="116">
        <v>977493.54334452876</v>
      </c>
      <c r="D210" s="71">
        <f t="shared" si="6"/>
        <v>1001930.8819281419</v>
      </c>
      <c r="E210" s="71">
        <f t="shared" si="7"/>
        <v>1025977.2230944174</v>
      </c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spans="1:22" ht="12.75" customHeight="1" x14ac:dyDescent="0.2">
      <c r="A211" s="89">
        <v>1130103</v>
      </c>
      <c r="B211" s="93" t="s">
        <v>745</v>
      </c>
      <c r="C211" s="116">
        <v>1006857.809827758</v>
      </c>
      <c r="D211" s="71">
        <f t="shared" si="6"/>
        <v>1032029.2550734519</v>
      </c>
      <c r="E211" s="71">
        <f t="shared" si="7"/>
        <v>1056797.9571952147</v>
      </c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spans="1:22" ht="12.75" customHeight="1" x14ac:dyDescent="0.2">
      <c r="A212" s="89">
        <v>1130104</v>
      </c>
      <c r="B212" s="93" t="s">
        <v>746</v>
      </c>
      <c r="C212" s="116">
        <v>575477.37034026289</v>
      </c>
      <c r="D212" s="71">
        <f t="shared" si="6"/>
        <v>589864.30459876941</v>
      </c>
      <c r="E212" s="71">
        <f t="shared" si="7"/>
        <v>604021.04790913989</v>
      </c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spans="1:22" ht="12.75" customHeight="1" x14ac:dyDescent="0.2">
      <c r="A213" s="89">
        <v>1130105</v>
      </c>
      <c r="B213" s="93" t="s">
        <v>747</v>
      </c>
      <c r="C213" s="116">
        <v>561382.52094333537</v>
      </c>
      <c r="D213" s="71">
        <f t="shared" si="6"/>
        <v>575417.08396691876</v>
      </c>
      <c r="E213" s="71">
        <f t="shared" si="7"/>
        <v>589227.09398212482</v>
      </c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spans="1:22" ht="12.75" customHeight="1" x14ac:dyDescent="0.2">
      <c r="A214" s="89">
        <v>1130106</v>
      </c>
      <c r="B214" s="93" t="s">
        <v>748</v>
      </c>
      <c r="C214" s="116">
        <v>555509.67012165207</v>
      </c>
      <c r="D214" s="71">
        <f t="shared" si="6"/>
        <v>569397.41187469335</v>
      </c>
      <c r="E214" s="71">
        <f t="shared" si="7"/>
        <v>583062.94975968602</v>
      </c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spans="1:22" ht="12.75" customHeight="1" x14ac:dyDescent="0.2">
      <c r="A215" s="89">
        <v>1130107</v>
      </c>
      <c r="B215" s="93" t="s">
        <v>749</v>
      </c>
      <c r="C215" s="116">
        <v>561382.52094333537</v>
      </c>
      <c r="D215" s="71">
        <f t="shared" si="6"/>
        <v>575417.08396691876</v>
      </c>
      <c r="E215" s="71">
        <f t="shared" si="7"/>
        <v>589227.09398212482</v>
      </c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spans="1:22" ht="12.75" customHeight="1" x14ac:dyDescent="0.2">
      <c r="A216" s="89">
        <v>1130108</v>
      </c>
      <c r="B216" s="93" t="s">
        <v>750</v>
      </c>
      <c r="C216" s="116">
        <v>561382.52094333537</v>
      </c>
      <c r="D216" s="71">
        <f t="shared" si="6"/>
        <v>575417.08396691876</v>
      </c>
      <c r="E216" s="71">
        <f t="shared" si="7"/>
        <v>589227.09398212482</v>
      </c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spans="1:22" ht="12.75" customHeight="1" x14ac:dyDescent="0.2">
      <c r="A217" s="89">
        <v>1130109</v>
      </c>
      <c r="B217" s="93" t="s">
        <v>751</v>
      </c>
      <c r="C217" s="116">
        <v>575477.37034026289</v>
      </c>
      <c r="D217" s="71">
        <f t="shared" si="6"/>
        <v>589864.30459876941</v>
      </c>
      <c r="E217" s="71">
        <f t="shared" si="7"/>
        <v>604021.04790913989</v>
      </c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spans="1:22" ht="12.75" customHeight="1" x14ac:dyDescent="0.2">
      <c r="A218" s="89">
        <v>1130110</v>
      </c>
      <c r="B218" s="93" t="s">
        <v>752</v>
      </c>
      <c r="C218" s="116">
        <v>588397.6520478162</v>
      </c>
      <c r="D218" s="71">
        <f t="shared" si="6"/>
        <v>603107.5933490115</v>
      </c>
      <c r="E218" s="71">
        <f t="shared" si="7"/>
        <v>617582.17558938777</v>
      </c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spans="1:22" ht="12.75" customHeight="1" x14ac:dyDescent="0.2">
      <c r="A219" s="89">
        <v>1130112</v>
      </c>
      <c r="B219" s="93" t="s">
        <v>753</v>
      </c>
      <c r="C219" s="116">
        <v>575477.37034026289</v>
      </c>
      <c r="D219" s="71">
        <f t="shared" si="6"/>
        <v>589864.30459876941</v>
      </c>
      <c r="E219" s="71">
        <f t="shared" si="7"/>
        <v>604021.04790913989</v>
      </c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spans="1:22" ht="12.75" customHeight="1" x14ac:dyDescent="0.2">
      <c r="A220" s="89">
        <v>1130113</v>
      </c>
      <c r="B220" s="93" t="s">
        <v>754</v>
      </c>
      <c r="C220" s="116">
        <v>977493.54334452876</v>
      </c>
      <c r="D220" s="71">
        <f t="shared" si="6"/>
        <v>1001930.8819281419</v>
      </c>
      <c r="E220" s="71">
        <f t="shared" si="7"/>
        <v>1025977.2230944174</v>
      </c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spans="1:22" ht="12.75" customHeight="1" x14ac:dyDescent="0.2">
      <c r="A221" s="89">
        <v>1130114</v>
      </c>
      <c r="B221" s="93" t="s">
        <v>755</v>
      </c>
      <c r="C221" s="116">
        <v>588397.6520478162</v>
      </c>
      <c r="D221" s="71">
        <f t="shared" si="6"/>
        <v>603107.5933490115</v>
      </c>
      <c r="E221" s="71">
        <f t="shared" si="7"/>
        <v>617582.17558938777</v>
      </c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spans="1:22" ht="12.75" customHeight="1" x14ac:dyDescent="0.2">
      <c r="A222" s="89">
        <v>1130301</v>
      </c>
      <c r="B222" s="93" t="s">
        <v>756</v>
      </c>
      <c r="C222" s="116">
        <v>603667.06913411769</v>
      </c>
      <c r="D222" s="71">
        <f t="shared" si="6"/>
        <v>618758.74586247059</v>
      </c>
      <c r="E222" s="71">
        <f t="shared" si="7"/>
        <v>633608.95576316991</v>
      </c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spans="1:22" ht="12.75" customHeight="1" x14ac:dyDescent="0.2">
      <c r="A223" s="89">
        <v>1130302</v>
      </c>
      <c r="B223" s="93" t="s">
        <v>757</v>
      </c>
      <c r="C223" s="116">
        <v>667093.88523288502</v>
      </c>
      <c r="D223" s="71">
        <f t="shared" si="6"/>
        <v>683771.23236370704</v>
      </c>
      <c r="E223" s="71">
        <f t="shared" si="7"/>
        <v>700181.74194043607</v>
      </c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spans="1:22" ht="12.75" customHeight="1" x14ac:dyDescent="0.2">
      <c r="A224" s="89">
        <v>1130303</v>
      </c>
      <c r="B224" s="93" t="s">
        <v>757</v>
      </c>
      <c r="C224" s="116">
        <v>699981.86715904891</v>
      </c>
      <c r="D224" s="71">
        <f t="shared" si="6"/>
        <v>717481.41383802507</v>
      </c>
      <c r="E224" s="71">
        <f t="shared" si="7"/>
        <v>734700.96777013771</v>
      </c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spans="1:22" ht="12.75" customHeight="1" x14ac:dyDescent="0.2">
      <c r="A225" s="89">
        <v>1130304</v>
      </c>
      <c r="B225" s="93" t="s">
        <v>758</v>
      </c>
      <c r="C225" s="116">
        <v>943430.99372899067</v>
      </c>
      <c r="D225" s="71">
        <f t="shared" si="6"/>
        <v>967016.76857221534</v>
      </c>
      <c r="E225" s="71">
        <f t="shared" si="7"/>
        <v>990225.17101794854</v>
      </c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spans="1:22" ht="12.75" customHeight="1" x14ac:dyDescent="0.2">
      <c r="A226" s="89">
        <v>1130305</v>
      </c>
      <c r="B226" s="93" t="s">
        <v>759</v>
      </c>
      <c r="C226" s="116">
        <v>943430.99372899067</v>
      </c>
      <c r="D226" s="71">
        <f t="shared" si="6"/>
        <v>967016.76857221534</v>
      </c>
      <c r="E226" s="71">
        <f t="shared" si="7"/>
        <v>990225.17101794854</v>
      </c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spans="1:22" ht="12.75" customHeight="1" x14ac:dyDescent="0.2">
      <c r="A227" s="89">
        <v>130101</v>
      </c>
      <c r="B227" s="93" t="s">
        <v>760</v>
      </c>
      <c r="C227" s="116">
        <v>1067935.4905477769</v>
      </c>
      <c r="D227" s="71">
        <f t="shared" si="6"/>
        <v>1094633.8778114712</v>
      </c>
      <c r="E227" s="71">
        <f t="shared" si="7"/>
        <v>1120905.0908789465</v>
      </c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spans="1:22" ht="12.75" customHeight="1" x14ac:dyDescent="0.2">
      <c r="A228" s="89">
        <v>130102</v>
      </c>
      <c r="B228" s="93" t="s">
        <v>761</v>
      </c>
      <c r="C228" s="116">
        <v>1039745.7917539218</v>
      </c>
      <c r="D228" s="71">
        <f t="shared" si="6"/>
        <v>1065739.4365477697</v>
      </c>
      <c r="E228" s="71">
        <f t="shared" si="7"/>
        <v>1091317.1830249161</v>
      </c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spans="1:22" ht="12.75" customHeight="1" x14ac:dyDescent="0.2">
      <c r="A229" s="89">
        <v>130103</v>
      </c>
      <c r="B229" s="93" t="s">
        <v>762</v>
      </c>
      <c r="C229" s="116">
        <v>650649.90045720921</v>
      </c>
      <c r="D229" s="71">
        <f t="shared" si="6"/>
        <v>666916.14796863939</v>
      </c>
      <c r="E229" s="71">
        <f t="shared" si="7"/>
        <v>682922.13551988674</v>
      </c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spans="1:22" ht="12.75" customHeight="1" x14ac:dyDescent="0.2">
      <c r="A230" s="89">
        <v>130104</v>
      </c>
      <c r="B230" s="93" t="s">
        <v>763</v>
      </c>
      <c r="C230" s="116">
        <v>1006857.809827758</v>
      </c>
      <c r="D230" s="71">
        <f t="shared" si="6"/>
        <v>1032029.2550734519</v>
      </c>
      <c r="E230" s="71">
        <f t="shared" si="7"/>
        <v>1056797.9571952147</v>
      </c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spans="1:22" ht="12.75" customHeight="1" x14ac:dyDescent="0.2">
      <c r="A231" s="89">
        <v>130105</v>
      </c>
      <c r="B231" s="93" t="s">
        <v>764</v>
      </c>
      <c r="C231" s="116">
        <v>561382.52094333537</v>
      </c>
      <c r="D231" s="71">
        <f t="shared" si="6"/>
        <v>575417.08396691876</v>
      </c>
      <c r="E231" s="71">
        <f t="shared" si="7"/>
        <v>589227.09398212482</v>
      </c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spans="1:22" ht="12.75" customHeight="1" x14ac:dyDescent="0.2">
      <c r="A232" s="89">
        <v>130107</v>
      </c>
      <c r="B232" s="93" t="s">
        <v>765</v>
      </c>
      <c r="C232" s="116">
        <v>1006857.809827758</v>
      </c>
      <c r="D232" s="71">
        <f t="shared" si="6"/>
        <v>1032029.2550734519</v>
      </c>
      <c r="E232" s="71">
        <f t="shared" si="7"/>
        <v>1056797.9571952147</v>
      </c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spans="1:22" ht="12.75" customHeight="1" x14ac:dyDescent="0.2">
      <c r="A233" s="89">
        <v>130108</v>
      </c>
      <c r="B233" s="93" t="s">
        <v>766</v>
      </c>
      <c r="C233" s="116">
        <v>1039745.7917539218</v>
      </c>
      <c r="D233" s="71">
        <f t="shared" si="6"/>
        <v>1065739.4365477697</v>
      </c>
      <c r="E233" s="71">
        <f t="shared" si="7"/>
        <v>1091317.1830249161</v>
      </c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spans="1:22" ht="12.75" customHeight="1" x14ac:dyDescent="0.2">
      <c r="A234" s="89">
        <v>130109</v>
      </c>
      <c r="B234" s="93" t="s">
        <v>767</v>
      </c>
      <c r="C234" s="116">
        <v>561382.52094333537</v>
      </c>
      <c r="D234" s="71">
        <f t="shared" si="6"/>
        <v>575417.08396691876</v>
      </c>
      <c r="E234" s="71">
        <f t="shared" si="7"/>
        <v>589227.09398212482</v>
      </c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spans="1:22" ht="12.75" customHeight="1" x14ac:dyDescent="0.2">
      <c r="A235" s="89">
        <v>130201</v>
      </c>
      <c r="B235" s="93" t="s">
        <v>768</v>
      </c>
      <c r="C235" s="116">
        <v>1639171.2083315861</v>
      </c>
      <c r="D235" s="71">
        <f t="shared" si="6"/>
        <v>1680150.4885398755</v>
      </c>
      <c r="E235" s="71">
        <f t="shared" si="7"/>
        <v>1720474.1002648326</v>
      </c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spans="1:22" ht="12.75" customHeight="1" x14ac:dyDescent="0.2">
      <c r="A236" s="89">
        <v>130202</v>
      </c>
      <c r="B236" s="93" t="s">
        <v>769</v>
      </c>
      <c r="C236" s="116">
        <v>1867037.9464359861</v>
      </c>
      <c r="D236" s="71">
        <f t="shared" si="6"/>
        <v>1913713.8950968855</v>
      </c>
      <c r="E236" s="71">
        <f t="shared" si="7"/>
        <v>1959643.0285792109</v>
      </c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spans="1:22" ht="12.75" customHeight="1" x14ac:dyDescent="0.2">
      <c r="A237" s="89">
        <v>130203</v>
      </c>
      <c r="B237" s="93" t="s">
        <v>770</v>
      </c>
      <c r="C237" s="116">
        <v>541414.82072472456</v>
      </c>
      <c r="D237" s="71">
        <f t="shared" si="6"/>
        <v>554950.19124284259</v>
      </c>
      <c r="E237" s="71">
        <f t="shared" si="7"/>
        <v>568268.99583267083</v>
      </c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spans="1:22" ht="12.75" customHeight="1" x14ac:dyDescent="0.2">
      <c r="A238" s="89">
        <v>130205</v>
      </c>
      <c r="B238" s="93" t="s">
        <v>771</v>
      </c>
      <c r="C238" s="116">
        <v>1212407.6999599864</v>
      </c>
      <c r="D238" s="71">
        <f t="shared" si="6"/>
        <v>1242717.892458986</v>
      </c>
      <c r="E238" s="71">
        <f t="shared" si="7"/>
        <v>1272543.1218780016</v>
      </c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spans="1:22" ht="12.75" customHeight="1" x14ac:dyDescent="0.2">
      <c r="A239" s="89">
        <v>130206</v>
      </c>
      <c r="B239" s="93" t="s">
        <v>772</v>
      </c>
      <c r="C239" s="116">
        <v>1768374.0006574939</v>
      </c>
      <c r="D239" s="71">
        <f t="shared" si="6"/>
        <v>1812583.3506739312</v>
      </c>
      <c r="E239" s="71">
        <f t="shared" si="7"/>
        <v>1856085.3510901055</v>
      </c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spans="1:22" ht="12.75" customHeight="1" x14ac:dyDescent="0.2">
      <c r="A240" s="89">
        <v>130207</v>
      </c>
      <c r="B240" s="93" t="s">
        <v>773</v>
      </c>
      <c r="C240" s="116">
        <v>1446541.5999069111</v>
      </c>
      <c r="D240" s="71">
        <f t="shared" si="6"/>
        <v>1482705.1399045838</v>
      </c>
      <c r="E240" s="71">
        <f t="shared" si="7"/>
        <v>1518290.0632622938</v>
      </c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spans="1:22" ht="12.75" customHeight="1" x14ac:dyDescent="0.2">
      <c r="A241" s="89">
        <v>130208</v>
      </c>
      <c r="B241" s="93" t="s">
        <v>774</v>
      </c>
      <c r="C241" s="116">
        <v>1039745.7917539218</v>
      </c>
      <c r="D241" s="71">
        <f t="shared" si="6"/>
        <v>1065739.4365477697</v>
      </c>
      <c r="E241" s="71">
        <f t="shared" si="7"/>
        <v>1091317.1830249161</v>
      </c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spans="1:22" ht="12.75" customHeight="1" x14ac:dyDescent="0.2">
      <c r="A242" s="89">
        <v>130209</v>
      </c>
      <c r="B242" s="93" t="s">
        <v>775</v>
      </c>
      <c r="C242" s="116">
        <v>561382.52094333537</v>
      </c>
      <c r="D242" s="71">
        <f t="shared" si="6"/>
        <v>575417.08396691876</v>
      </c>
      <c r="E242" s="71">
        <f t="shared" si="7"/>
        <v>589227.09398212482</v>
      </c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spans="1:22" ht="12.75" customHeight="1" x14ac:dyDescent="0.2">
      <c r="A243" s="89">
        <v>130210</v>
      </c>
      <c r="B243" s="93" t="s">
        <v>776</v>
      </c>
      <c r="C243" s="116">
        <v>2908420.0843770765</v>
      </c>
      <c r="D243" s="71">
        <f t="shared" si="6"/>
        <v>2981130.586486503</v>
      </c>
      <c r="E243" s="71">
        <f t="shared" si="7"/>
        <v>3052677.7205621791</v>
      </c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spans="1:22" ht="12.75" customHeight="1" x14ac:dyDescent="0.2">
      <c r="A244" s="89">
        <v>130211</v>
      </c>
      <c r="B244" s="93" t="s">
        <v>777</v>
      </c>
      <c r="C244" s="116">
        <v>2409227.4922881206</v>
      </c>
      <c r="D244" s="71">
        <f t="shared" si="6"/>
        <v>2469458.1795953233</v>
      </c>
      <c r="E244" s="71">
        <f t="shared" si="7"/>
        <v>2528725.1759056109</v>
      </c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spans="1:22" ht="12.75" customHeight="1" x14ac:dyDescent="0.2">
      <c r="A245" s="89">
        <v>130301</v>
      </c>
      <c r="B245" s="93" t="s">
        <v>778</v>
      </c>
      <c r="C245" s="116">
        <v>1768374.0006574939</v>
      </c>
      <c r="D245" s="71">
        <f t="shared" si="6"/>
        <v>1812583.3506739312</v>
      </c>
      <c r="E245" s="71">
        <f t="shared" si="7"/>
        <v>1856085.3510901055</v>
      </c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spans="1:22" ht="12.75" customHeight="1" x14ac:dyDescent="0.2">
      <c r="A246" s="89">
        <v>130302</v>
      </c>
      <c r="B246" s="93" t="s">
        <v>779</v>
      </c>
      <c r="C246" s="116">
        <v>2067889.5410610929</v>
      </c>
      <c r="D246" s="71">
        <f t="shared" si="6"/>
        <v>2119586.7795876199</v>
      </c>
      <c r="E246" s="71">
        <f t="shared" si="7"/>
        <v>2170456.8622977231</v>
      </c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spans="1:22" ht="12.75" customHeight="1" x14ac:dyDescent="0.2">
      <c r="A247" s="89">
        <v>130303</v>
      </c>
      <c r="B247" s="93" t="s">
        <v>780</v>
      </c>
      <c r="C247" s="116">
        <v>2409227.4922881206</v>
      </c>
      <c r="D247" s="71">
        <f t="shared" si="6"/>
        <v>2469458.1795953233</v>
      </c>
      <c r="E247" s="71">
        <f t="shared" si="7"/>
        <v>2528725.1759056109</v>
      </c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spans="1:22" ht="12.75" customHeight="1" x14ac:dyDescent="0.2">
      <c r="A248" s="89">
        <v>130304</v>
      </c>
      <c r="B248" s="93" t="s">
        <v>781</v>
      </c>
      <c r="C248" s="116">
        <v>2607729.9639092921</v>
      </c>
      <c r="D248" s="71">
        <f t="shared" si="6"/>
        <v>2672923.213007024</v>
      </c>
      <c r="E248" s="71">
        <f t="shared" si="7"/>
        <v>2737073.3701191926</v>
      </c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spans="1:22" ht="12.75" customHeight="1" x14ac:dyDescent="0.2">
      <c r="A249" s="89">
        <v>130305</v>
      </c>
      <c r="B249" s="93" t="s">
        <v>782</v>
      </c>
      <c r="C249" s="116">
        <v>1732742.5599569271</v>
      </c>
      <c r="D249" s="71">
        <f t="shared" si="6"/>
        <v>1776061.12395585</v>
      </c>
      <c r="E249" s="71">
        <f t="shared" si="7"/>
        <v>1818686.5909307904</v>
      </c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spans="1:22" ht="12.75" customHeight="1" x14ac:dyDescent="0.2">
      <c r="A250" s="89">
        <v>130306</v>
      </c>
      <c r="B250" s="93" t="s">
        <v>783</v>
      </c>
      <c r="C250" s="116">
        <v>2908420.0843770765</v>
      </c>
      <c r="D250" s="71">
        <f t="shared" si="6"/>
        <v>2981130.586486503</v>
      </c>
      <c r="E250" s="71">
        <f t="shared" si="7"/>
        <v>3052677.7205621791</v>
      </c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spans="1:22" ht="12.75" customHeight="1" x14ac:dyDescent="0.2">
      <c r="A251" s="89">
        <v>130401</v>
      </c>
      <c r="B251" s="93" t="s">
        <v>784</v>
      </c>
      <c r="C251" s="116">
        <v>1017115.9847773226</v>
      </c>
      <c r="D251" s="71">
        <f t="shared" si="6"/>
        <v>1042543.8843967556</v>
      </c>
      <c r="E251" s="71">
        <f t="shared" si="7"/>
        <v>1067564.9376222778</v>
      </c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spans="1:22" ht="12.75" customHeight="1" x14ac:dyDescent="0.2">
      <c r="A252" s="89">
        <v>130402</v>
      </c>
      <c r="B252" s="93" t="s">
        <v>785</v>
      </c>
      <c r="C252" s="116">
        <v>728171.56595290406</v>
      </c>
      <c r="D252" s="71">
        <f t="shared" si="6"/>
        <v>746375.8551017266</v>
      </c>
      <c r="E252" s="71">
        <f t="shared" si="7"/>
        <v>764288.87562416808</v>
      </c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spans="1:22" ht="12.75" customHeight="1" x14ac:dyDescent="0.2">
      <c r="A253" s="89">
        <v>130403</v>
      </c>
      <c r="B253" s="93" t="s">
        <v>786</v>
      </c>
      <c r="C253" s="116">
        <v>746964.69848214055</v>
      </c>
      <c r="D253" s="71">
        <f t="shared" si="6"/>
        <v>765638.81594419398</v>
      </c>
      <c r="E253" s="71">
        <f t="shared" si="7"/>
        <v>784014.14752685465</v>
      </c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spans="1:22" ht="12.75" customHeight="1" x14ac:dyDescent="0.2">
      <c r="A254" s="89">
        <v>130404</v>
      </c>
      <c r="B254" s="93" t="s">
        <v>787</v>
      </c>
      <c r="C254" s="116">
        <v>714076.71655597643</v>
      </c>
      <c r="D254" s="71">
        <f t="shared" si="6"/>
        <v>731928.63446987572</v>
      </c>
      <c r="E254" s="71">
        <f t="shared" si="7"/>
        <v>749494.92169715278</v>
      </c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spans="1:22" ht="12.75" customHeight="1" x14ac:dyDescent="0.2">
      <c r="A255" s="89">
        <v>130405</v>
      </c>
      <c r="B255" s="93" t="s">
        <v>788</v>
      </c>
      <c r="C255" s="116">
        <v>919626.6066882048</v>
      </c>
      <c r="D255" s="71">
        <f t="shared" si="6"/>
        <v>942617.27185540984</v>
      </c>
      <c r="E255" s="71">
        <f t="shared" si="7"/>
        <v>965240.08637993969</v>
      </c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spans="1:22" ht="12.75" customHeight="1" x14ac:dyDescent="0.2">
      <c r="A256" s="89">
        <v>130406</v>
      </c>
      <c r="B256" s="93" t="s">
        <v>789</v>
      </c>
      <c r="C256" s="116">
        <v>561382.52094333537</v>
      </c>
      <c r="D256" s="71">
        <f t="shared" si="6"/>
        <v>575417.08396691876</v>
      </c>
      <c r="E256" s="71">
        <f t="shared" si="7"/>
        <v>589227.09398212482</v>
      </c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spans="1:22" ht="12.75" customHeight="1" x14ac:dyDescent="0.2">
      <c r="A257" s="89">
        <v>130407</v>
      </c>
      <c r="B257" s="93" t="s">
        <v>790</v>
      </c>
      <c r="C257" s="116">
        <v>603667.06913411769</v>
      </c>
      <c r="D257" s="71">
        <f t="shared" si="6"/>
        <v>618758.74586247059</v>
      </c>
      <c r="E257" s="71">
        <f t="shared" si="7"/>
        <v>633608.95576316991</v>
      </c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spans="1:22" ht="12.75" customHeight="1" x14ac:dyDescent="0.2">
      <c r="A258" s="89">
        <v>130409</v>
      </c>
      <c r="B258" s="93" t="s">
        <v>791</v>
      </c>
      <c r="C258" s="116">
        <v>820962.66090971266</v>
      </c>
      <c r="D258" s="71">
        <f t="shared" si="6"/>
        <v>841486.7274324554</v>
      </c>
      <c r="E258" s="71">
        <f t="shared" si="7"/>
        <v>861682.40889083431</v>
      </c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spans="1:22" ht="12.75" customHeight="1" x14ac:dyDescent="0.2">
      <c r="A259" s="89">
        <v>130410</v>
      </c>
      <c r="B259" s="93" t="s">
        <v>792</v>
      </c>
      <c r="C259" s="116">
        <v>699981.86715904891</v>
      </c>
      <c r="D259" s="71">
        <f t="shared" si="6"/>
        <v>717481.41383802507</v>
      </c>
      <c r="E259" s="71">
        <f t="shared" si="7"/>
        <v>734700.96777013771</v>
      </c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spans="1:22" ht="12.75" customHeight="1" x14ac:dyDescent="0.2">
      <c r="A260" s="89">
        <v>130411</v>
      </c>
      <c r="B260" s="93" t="s">
        <v>793</v>
      </c>
      <c r="C260" s="116">
        <v>667093.88523288502</v>
      </c>
      <c r="D260" s="71">
        <f t="shared" si="6"/>
        <v>683771.23236370704</v>
      </c>
      <c r="E260" s="71">
        <f t="shared" si="7"/>
        <v>700181.74194043607</v>
      </c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spans="1:22" ht="12.75" customHeight="1" x14ac:dyDescent="0.2">
      <c r="A261" s="89">
        <v>130412</v>
      </c>
      <c r="B261" s="93" t="s">
        <v>794</v>
      </c>
      <c r="C261" s="116">
        <v>603667.06913411769</v>
      </c>
      <c r="D261" s="71">
        <f t="shared" si="6"/>
        <v>618758.74586247059</v>
      </c>
      <c r="E261" s="71">
        <f t="shared" si="7"/>
        <v>633608.95576316991</v>
      </c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spans="1:22" ht="12.75" customHeight="1" x14ac:dyDescent="0.2">
      <c r="A262" s="89">
        <v>130413</v>
      </c>
      <c r="B262" s="93" t="s">
        <v>795</v>
      </c>
      <c r="C262" s="116">
        <v>555509.67012165207</v>
      </c>
      <c r="D262" s="71">
        <f t="shared" ref="D262:D325" si="8">IFERROR(C262*(1+$D$1),C262)</f>
        <v>569397.41187469335</v>
      </c>
      <c r="E262" s="71">
        <f t="shared" ref="E262:E325" si="9">IFERROR(D262*(1+$E$1),D262)</f>
        <v>583062.94975968602</v>
      </c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spans="1:22" ht="12.75" customHeight="1" x14ac:dyDescent="0.2">
      <c r="A263" s="89">
        <v>130501</v>
      </c>
      <c r="B263" s="93" t="s">
        <v>796</v>
      </c>
      <c r="C263" s="116">
        <v>1993429.4412661674</v>
      </c>
      <c r="D263" s="71">
        <f t="shared" si="8"/>
        <v>2043265.1772978215</v>
      </c>
      <c r="E263" s="71">
        <f t="shared" si="9"/>
        <v>2092303.5415529693</v>
      </c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spans="1:22" ht="12.75" customHeight="1" x14ac:dyDescent="0.2">
      <c r="A264" s="89">
        <v>130502</v>
      </c>
      <c r="B264" s="93" t="s">
        <v>797</v>
      </c>
      <c r="C264" s="116">
        <v>1230026.2647998487</v>
      </c>
      <c r="D264" s="71">
        <f t="shared" si="8"/>
        <v>1260776.9214198447</v>
      </c>
      <c r="E264" s="71">
        <f t="shared" si="9"/>
        <v>1291035.567533921</v>
      </c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spans="1:22" ht="12.75" customHeight="1" x14ac:dyDescent="0.2">
      <c r="A265" s="89">
        <v>130503</v>
      </c>
      <c r="B265" s="93" t="s">
        <v>798</v>
      </c>
      <c r="C265" s="116">
        <v>1542856.4103066553</v>
      </c>
      <c r="D265" s="71">
        <f t="shared" si="8"/>
        <v>1581427.8205643215</v>
      </c>
      <c r="E265" s="71">
        <f t="shared" si="9"/>
        <v>1619382.0882578653</v>
      </c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spans="1:22" ht="12.75" customHeight="1" x14ac:dyDescent="0.2">
      <c r="A266" s="89">
        <v>130504</v>
      </c>
      <c r="B266" s="93" t="s">
        <v>799</v>
      </c>
      <c r="C266" s="116">
        <v>1020952.6592246853</v>
      </c>
      <c r="D266" s="71">
        <f t="shared" si="8"/>
        <v>1046476.4757053023</v>
      </c>
      <c r="E266" s="71">
        <f t="shared" si="9"/>
        <v>1071591.9111222296</v>
      </c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spans="1:22" ht="12.75" customHeight="1" x14ac:dyDescent="0.2">
      <c r="A267" s="89">
        <v>130505</v>
      </c>
      <c r="B267" s="93" t="s">
        <v>800</v>
      </c>
      <c r="C267" s="116">
        <v>603667.06913411769</v>
      </c>
      <c r="D267" s="71">
        <f t="shared" si="8"/>
        <v>618758.74586247059</v>
      </c>
      <c r="E267" s="71">
        <f t="shared" si="9"/>
        <v>633608.95576316991</v>
      </c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spans="1:22" ht="12.75" customHeight="1" x14ac:dyDescent="0.2">
      <c r="A268" s="89">
        <v>130506</v>
      </c>
      <c r="B268" s="93" t="s">
        <v>801</v>
      </c>
      <c r="C268" s="116">
        <v>1020952.6592246853</v>
      </c>
      <c r="D268" s="71">
        <f t="shared" si="8"/>
        <v>1046476.4757053023</v>
      </c>
      <c r="E268" s="71">
        <f t="shared" si="9"/>
        <v>1071591.9111222296</v>
      </c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spans="1:22" ht="12.75" customHeight="1" x14ac:dyDescent="0.2">
      <c r="A269" s="89">
        <v>130507</v>
      </c>
      <c r="B269" s="93" t="s">
        <v>802</v>
      </c>
      <c r="C269" s="116">
        <v>603667.06913411769</v>
      </c>
      <c r="D269" s="71">
        <f t="shared" si="8"/>
        <v>618758.74586247059</v>
      </c>
      <c r="E269" s="71">
        <f t="shared" si="9"/>
        <v>633608.95576316991</v>
      </c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spans="1:22" ht="12.75" customHeight="1" x14ac:dyDescent="0.2">
      <c r="A270" s="89">
        <v>130508</v>
      </c>
      <c r="B270" s="93" t="s">
        <v>803</v>
      </c>
      <c r="C270" s="116">
        <v>1006857.809827758</v>
      </c>
      <c r="D270" s="71">
        <f t="shared" si="8"/>
        <v>1032029.2550734519</v>
      </c>
      <c r="E270" s="71">
        <f t="shared" si="9"/>
        <v>1056797.9571952147</v>
      </c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spans="1:22" ht="12.75" customHeight="1" x14ac:dyDescent="0.2">
      <c r="A271" s="89">
        <v>130509</v>
      </c>
      <c r="B271" s="93" t="s">
        <v>804</v>
      </c>
      <c r="C271" s="116">
        <v>1067935.4905477769</v>
      </c>
      <c r="D271" s="71">
        <f t="shared" si="8"/>
        <v>1094633.8778114712</v>
      </c>
      <c r="E271" s="71">
        <f t="shared" si="9"/>
        <v>1120905.0908789465</v>
      </c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spans="1:22" ht="12.75" customHeight="1" x14ac:dyDescent="0.2">
      <c r="A272" s="89">
        <v>130510</v>
      </c>
      <c r="B272" s="93" t="s">
        <v>805</v>
      </c>
      <c r="C272" s="116">
        <v>1067935.4905477769</v>
      </c>
      <c r="D272" s="71">
        <f t="shared" si="8"/>
        <v>1094633.8778114712</v>
      </c>
      <c r="E272" s="71">
        <f t="shared" si="9"/>
        <v>1120905.0908789465</v>
      </c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spans="1:22" ht="12.75" customHeight="1" x14ac:dyDescent="0.2">
      <c r="A273" s="89">
        <v>130511</v>
      </c>
      <c r="B273" s="93" t="s">
        <v>806</v>
      </c>
      <c r="C273" s="116">
        <v>1261739.6790366382</v>
      </c>
      <c r="D273" s="71">
        <f t="shared" si="8"/>
        <v>1293283.1710125541</v>
      </c>
      <c r="E273" s="71">
        <f t="shared" si="9"/>
        <v>1324321.9671168553</v>
      </c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spans="1:22" ht="12.75" customHeight="1" x14ac:dyDescent="0.2">
      <c r="A274" s="89">
        <v>130512</v>
      </c>
      <c r="B274" s="93" t="s">
        <v>807</v>
      </c>
      <c r="C274" s="116">
        <v>1006857.809827758</v>
      </c>
      <c r="D274" s="71">
        <f t="shared" si="8"/>
        <v>1032029.2550734519</v>
      </c>
      <c r="E274" s="71">
        <f t="shared" si="9"/>
        <v>1056797.9571952147</v>
      </c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spans="1:22" ht="12.75" customHeight="1" x14ac:dyDescent="0.2">
      <c r="A275" s="89">
        <v>130513</v>
      </c>
      <c r="B275" s="93" t="s">
        <v>808</v>
      </c>
      <c r="C275" s="116">
        <v>1067935.4905477769</v>
      </c>
      <c r="D275" s="71">
        <f t="shared" si="8"/>
        <v>1094633.8778114712</v>
      </c>
      <c r="E275" s="71">
        <f t="shared" si="9"/>
        <v>1120905.0908789465</v>
      </c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spans="1:22" ht="12.75" customHeight="1" x14ac:dyDescent="0.2">
      <c r="A276" s="89">
        <v>130514</v>
      </c>
      <c r="B276" s="93" t="s">
        <v>809</v>
      </c>
      <c r="C276" s="116">
        <v>1067935.4905477769</v>
      </c>
      <c r="D276" s="71">
        <f t="shared" si="8"/>
        <v>1094633.8778114712</v>
      </c>
      <c r="E276" s="71">
        <f t="shared" si="9"/>
        <v>1120905.0908789465</v>
      </c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spans="1:22" ht="12.75" customHeight="1" x14ac:dyDescent="0.2">
      <c r="A277" s="89">
        <v>130515</v>
      </c>
      <c r="B277" s="93" t="s">
        <v>810</v>
      </c>
      <c r="C277" s="116">
        <v>575477.37034026289</v>
      </c>
      <c r="D277" s="71">
        <f t="shared" si="8"/>
        <v>589864.30459876941</v>
      </c>
      <c r="E277" s="71">
        <f t="shared" si="9"/>
        <v>604021.04790913989</v>
      </c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spans="1:22" ht="12.75" customHeight="1" x14ac:dyDescent="0.2">
      <c r="A278" s="89">
        <v>130516</v>
      </c>
      <c r="B278" s="93" t="s">
        <v>811</v>
      </c>
      <c r="C278" s="116">
        <v>1309897.0780491042</v>
      </c>
      <c r="D278" s="71">
        <f t="shared" si="8"/>
        <v>1342644.5050003317</v>
      </c>
      <c r="E278" s="71">
        <f t="shared" si="9"/>
        <v>1374867.9731203397</v>
      </c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spans="1:22" ht="12.75" customHeight="1" x14ac:dyDescent="0.2">
      <c r="A279" s="89">
        <v>130601</v>
      </c>
      <c r="B279" s="93" t="s">
        <v>812</v>
      </c>
      <c r="C279" s="116">
        <v>2576016.5496725016</v>
      </c>
      <c r="D279" s="71">
        <f t="shared" si="8"/>
        <v>2640416.9634143137</v>
      </c>
      <c r="E279" s="71">
        <f t="shared" si="9"/>
        <v>2703786.9705362571</v>
      </c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spans="1:22" ht="12.75" customHeight="1" x14ac:dyDescent="0.2">
      <c r="A280" s="89">
        <v>130602</v>
      </c>
      <c r="B280" s="93" t="s">
        <v>813</v>
      </c>
      <c r="C280" s="116">
        <v>1999764.4418300164</v>
      </c>
      <c r="D280" s="71">
        <f t="shared" si="8"/>
        <v>2049758.5528757668</v>
      </c>
      <c r="E280" s="71">
        <f t="shared" si="9"/>
        <v>2098952.7581447852</v>
      </c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spans="1:22" ht="12.75" customHeight="1" x14ac:dyDescent="0.2">
      <c r="A281" s="89">
        <v>130603</v>
      </c>
      <c r="B281" s="93" t="s">
        <v>814</v>
      </c>
      <c r="C281" s="116">
        <v>1650522.5989541106</v>
      </c>
      <c r="D281" s="71">
        <f t="shared" si="8"/>
        <v>1691785.6639279632</v>
      </c>
      <c r="E281" s="71">
        <f t="shared" si="9"/>
        <v>1732388.5198622344</v>
      </c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spans="1:22" ht="12.75" customHeight="1" x14ac:dyDescent="0.2">
      <c r="A282" s="89">
        <v>130604</v>
      </c>
      <c r="B282" s="93" t="s">
        <v>815</v>
      </c>
      <c r="C282" s="116">
        <v>1389767.8912983597</v>
      </c>
      <c r="D282" s="71">
        <f t="shared" si="8"/>
        <v>1424512.0885808186</v>
      </c>
      <c r="E282" s="71">
        <f t="shared" si="9"/>
        <v>1458700.3787067584</v>
      </c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spans="1:22" ht="12.75" customHeight="1" x14ac:dyDescent="0.2">
      <c r="A283" s="89">
        <v>130605</v>
      </c>
      <c r="B283" s="93" t="s">
        <v>816</v>
      </c>
      <c r="C283" s="116">
        <v>1274659.9483693789</v>
      </c>
      <c r="D283" s="71">
        <f t="shared" si="8"/>
        <v>1306526.4470786133</v>
      </c>
      <c r="E283" s="71">
        <f t="shared" si="9"/>
        <v>1337883.0818085</v>
      </c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spans="1:22" ht="12.75" customHeight="1" x14ac:dyDescent="0.2">
      <c r="A284" s="89">
        <v>130606</v>
      </c>
      <c r="B284" s="93" t="s">
        <v>817</v>
      </c>
      <c r="C284" s="116">
        <v>1067935.4905477769</v>
      </c>
      <c r="D284" s="71">
        <f t="shared" si="8"/>
        <v>1094633.8778114712</v>
      </c>
      <c r="E284" s="71">
        <f t="shared" si="9"/>
        <v>1120905.0908789465</v>
      </c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spans="1:22" ht="12.75" customHeight="1" x14ac:dyDescent="0.2">
      <c r="A285" s="89">
        <v>130607</v>
      </c>
      <c r="B285" s="93" t="s">
        <v>818</v>
      </c>
      <c r="C285" s="116">
        <v>575477.37034026289</v>
      </c>
      <c r="D285" s="71">
        <f t="shared" si="8"/>
        <v>589864.30459876941</v>
      </c>
      <c r="E285" s="71">
        <f t="shared" si="9"/>
        <v>604021.04790913989</v>
      </c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spans="1:22" ht="12.75" customHeight="1" x14ac:dyDescent="0.2">
      <c r="A286" s="89">
        <v>130608</v>
      </c>
      <c r="B286" s="93" t="s">
        <v>819</v>
      </c>
      <c r="C286" s="116">
        <v>1965239.7424723131</v>
      </c>
      <c r="D286" s="71">
        <f t="shared" si="8"/>
        <v>2014370.7360341207</v>
      </c>
      <c r="E286" s="71">
        <f t="shared" si="9"/>
        <v>2062715.6336989396</v>
      </c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spans="1:22" ht="12.75" customHeight="1" x14ac:dyDescent="0.2">
      <c r="A287" s="89">
        <v>130701</v>
      </c>
      <c r="B287" s="93" t="s">
        <v>820</v>
      </c>
      <c r="C287" s="116">
        <v>555509.67012165207</v>
      </c>
      <c r="D287" s="71">
        <f t="shared" si="8"/>
        <v>569397.41187469335</v>
      </c>
      <c r="E287" s="71">
        <f t="shared" si="9"/>
        <v>583062.94975968602</v>
      </c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spans="1:22" ht="12.75" customHeight="1" x14ac:dyDescent="0.2">
      <c r="A288" s="89">
        <v>130702</v>
      </c>
      <c r="B288" s="93" t="s">
        <v>821</v>
      </c>
      <c r="C288" s="116">
        <v>1039745.7917539218</v>
      </c>
      <c r="D288" s="71">
        <f t="shared" si="8"/>
        <v>1065739.4365477697</v>
      </c>
      <c r="E288" s="71">
        <f t="shared" si="9"/>
        <v>1091317.1830249161</v>
      </c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spans="1:22" ht="12.75" customHeight="1" x14ac:dyDescent="0.2">
      <c r="A289" s="89">
        <v>130703</v>
      </c>
      <c r="B289" s="93" t="s">
        <v>822</v>
      </c>
      <c r="C289" s="116">
        <v>684712.45007274731</v>
      </c>
      <c r="D289" s="71">
        <f t="shared" si="8"/>
        <v>701830.26132456597</v>
      </c>
      <c r="E289" s="71">
        <f t="shared" si="9"/>
        <v>718674.18759635556</v>
      </c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spans="1:22" ht="12.75" customHeight="1" x14ac:dyDescent="0.2">
      <c r="A290" s="89">
        <v>130704</v>
      </c>
      <c r="B290" s="93" t="s">
        <v>823</v>
      </c>
      <c r="C290" s="116">
        <v>1006857.809827758</v>
      </c>
      <c r="D290" s="71">
        <f t="shared" si="8"/>
        <v>1032029.2550734519</v>
      </c>
      <c r="E290" s="71">
        <f t="shared" si="9"/>
        <v>1056797.9571952147</v>
      </c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spans="1:22" ht="12.75" customHeight="1" x14ac:dyDescent="0.2">
      <c r="A291" s="89">
        <v>130705</v>
      </c>
      <c r="B291" s="93" t="s">
        <v>824</v>
      </c>
      <c r="C291" s="116">
        <v>1884656.4989010359</v>
      </c>
      <c r="D291" s="71">
        <f t="shared" si="8"/>
        <v>1931772.9113735617</v>
      </c>
      <c r="E291" s="71">
        <f t="shared" si="9"/>
        <v>1978135.4612465273</v>
      </c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spans="1:22" ht="12.75" customHeight="1" x14ac:dyDescent="0.2">
      <c r="A292" s="89">
        <v>130706</v>
      </c>
      <c r="B292" s="93" t="s">
        <v>825</v>
      </c>
      <c r="C292" s="116">
        <v>561382.52094333537</v>
      </c>
      <c r="D292" s="71">
        <f t="shared" si="8"/>
        <v>575417.08396691876</v>
      </c>
      <c r="E292" s="71">
        <f t="shared" si="9"/>
        <v>589227.09398212482</v>
      </c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spans="1:22" ht="12.75" customHeight="1" x14ac:dyDescent="0.2">
      <c r="A293" s="89">
        <v>130801</v>
      </c>
      <c r="B293" s="93" t="s">
        <v>826</v>
      </c>
      <c r="C293" s="116">
        <v>1999764.4418300164</v>
      </c>
      <c r="D293" s="71">
        <f t="shared" si="8"/>
        <v>2049758.5528757668</v>
      </c>
      <c r="E293" s="71">
        <f t="shared" si="9"/>
        <v>2098952.7581447852</v>
      </c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spans="1:22" ht="12.75" customHeight="1" x14ac:dyDescent="0.2">
      <c r="A294" s="89">
        <v>130802</v>
      </c>
      <c r="B294" s="93" t="s">
        <v>827</v>
      </c>
      <c r="C294" s="116">
        <v>2576016.5496725016</v>
      </c>
      <c r="D294" s="71">
        <f t="shared" si="8"/>
        <v>2640416.9634143137</v>
      </c>
      <c r="E294" s="71">
        <f t="shared" si="9"/>
        <v>2703786.9705362571</v>
      </c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spans="1:22" ht="12.75" customHeight="1" x14ac:dyDescent="0.2">
      <c r="A295" s="89">
        <v>130803</v>
      </c>
      <c r="B295" s="93" t="s">
        <v>828</v>
      </c>
      <c r="C295" s="116">
        <v>1389767.8912983597</v>
      </c>
      <c r="D295" s="71">
        <f t="shared" si="8"/>
        <v>1424512.0885808186</v>
      </c>
      <c r="E295" s="71">
        <f t="shared" si="9"/>
        <v>1458700.3787067584</v>
      </c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spans="1:22" ht="12.75" customHeight="1" x14ac:dyDescent="0.2">
      <c r="A296" s="89">
        <v>130804</v>
      </c>
      <c r="B296" s="93" t="s">
        <v>829</v>
      </c>
      <c r="C296" s="116">
        <v>1067935.4905477769</v>
      </c>
      <c r="D296" s="71">
        <f t="shared" si="8"/>
        <v>1094633.8778114712</v>
      </c>
      <c r="E296" s="71">
        <f t="shared" si="9"/>
        <v>1120905.0908789465</v>
      </c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spans="1:22" ht="12.75" customHeight="1" x14ac:dyDescent="0.2">
      <c r="A297" s="89">
        <v>130805</v>
      </c>
      <c r="B297" s="93" t="s">
        <v>830</v>
      </c>
      <c r="C297" s="116">
        <v>1768374.0006574939</v>
      </c>
      <c r="D297" s="71">
        <f t="shared" si="8"/>
        <v>1812583.3506739312</v>
      </c>
      <c r="E297" s="71">
        <f t="shared" si="9"/>
        <v>1856085.3510901055</v>
      </c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spans="1:22" ht="12.75" customHeight="1" x14ac:dyDescent="0.2">
      <c r="A298" s="89">
        <v>130806</v>
      </c>
      <c r="B298" s="93" t="s">
        <v>831</v>
      </c>
      <c r="C298" s="116">
        <v>575477.37034026289</v>
      </c>
      <c r="D298" s="71">
        <f t="shared" si="8"/>
        <v>589864.30459876941</v>
      </c>
      <c r="E298" s="71">
        <f t="shared" si="9"/>
        <v>604021.04790913989</v>
      </c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spans="1:22" ht="12.75" customHeight="1" x14ac:dyDescent="0.2">
      <c r="A299" s="89">
        <v>130807</v>
      </c>
      <c r="B299" s="93" t="s">
        <v>832</v>
      </c>
      <c r="C299" s="116">
        <v>603667.06913411769</v>
      </c>
      <c r="D299" s="71">
        <f t="shared" si="8"/>
        <v>618758.74586247059</v>
      </c>
      <c r="E299" s="71">
        <f t="shared" si="9"/>
        <v>633608.95576316991</v>
      </c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spans="1:22" ht="12.75" customHeight="1" x14ac:dyDescent="0.2">
      <c r="A300" s="89">
        <v>130808</v>
      </c>
      <c r="B300" s="93" t="s">
        <v>833</v>
      </c>
      <c r="C300" s="116">
        <v>684712.45007274731</v>
      </c>
      <c r="D300" s="71">
        <f t="shared" si="8"/>
        <v>701830.26132456597</v>
      </c>
      <c r="E300" s="71">
        <f t="shared" si="9"/>
        <v>718674.18759635556</v>
      </c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spans="1:22" ht="12.75" customHeight="1" x14ac:dyDescent="0.2">
      <c r="A301" s="89">
        <v>130901</v>
      </c>
      <c r="B301" s="93" t="s">
        <v>834</v>
      </c>
      <c r="C301" s="116">
        <v>2576016.5496725016</v>
      </c>
      <c r="D301" s="71">
        <f t="shared" si="8"/>
        <v>2640416.9634143137</v>
      </c>
      <c r="E301" s="71">
        <f t="shared" si="9"/>
        <v>2703786.9705362571</v>
      </c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spans="1:22" ht="12.75" customHeight="1" x14ac:dyDescent="0.2">
      <c r="A302" s="89">
        <v>130902</v>
      </c>
      <c r="B302" s="93" t="s">
        <v>835</v>
      </c>
      <c r="C302" s="116">
        <v>1309897.0780491042</v>
      </c>
      <c r="D302" s="71">
        <f t="shared" si="8"/>
        <v>1342644.5050003317</v>
      </c>
      <c r="E302" s="71">
        <f t="shared" si="9"/>
        <v>1374867.9731203397</v>
      </c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spans="1:22" ht="12.75" customHeight="1" x14ac:dyDescent="0.2">
      <c r="A303" s="89">
        <v>130903</v>
      </c>
      <c r="B303" s="93" t="s">
        <v>836</v>
      </c>
      <c r="C303" s="116">
        <v>1067935.4905477769</v>
      </c>
      <c r="D303" s="71">
        <f t="shared" si="8"/>
        <v>1094633.8778114712</v>
      </c>
      <c r="E303" s="71">
        <f t="shared" si="9"/>
        <v>1120905.0908789465</v>
      </c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spans="1:22" ht="12.75" customHeight="1" x14ac:dyDescent="0.2">
      <c r="A304" s="89">
        <v>130904</v>
      </c>
      <c r="B304" s="93" t="s">
        <v>837</v>
      </c>
      <c r="C304" s="116">
        <v>561382.52094333537</v>
      </c>
      <c r="D304" s="71">
        <f t="shared" si="8"/>
        <v>575417.08396691876</v>
      </c>
      <c r="E304" s="71">
        <f t="shared" si="9"/>
        <v>589227.09398212482</v>
      </c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spans="1:22" ht="12.75" customHeight="1" x14ac:dyDescent="0.2">
      <c r="A305" s="89">
        <v>130905</v>
      </c>
      <c r="B305" s="93" t="s">
        <v>838</v>
      </c>
      <c r="C305" s="116">
        <v>1006857.809827758</v>
      </c>
      <c r="D305" s="71">
        <f t="shared" si="8"/>
        <v>1032029.2550734519</v>
      </c>
      <c r="E305" s="71">
        <f t="shared" si="9"/>
        <v>1056797.9571952147</v>
      </c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spans="1:22" ht="12.75" customHeight="1" x14ac:dyDescent="0.2">
      <c r="A306" s="89">
        <v>131001</v>
      </c>
      <c r="B306" s="93" t="s">
        <v>839</v>
      </c>
      <c r="C306" s="116">
        <v>1039745.7917539218</v>
      </c>
      <c r="D306" s="71">
        <f t="shared" si="8"/>
        <v>1065739.4365477697</v>
      </c>
      <c r="E306" s="71">
        <f t="shared" si="9"/>
        <v>1091317.1830249161</v>
      </c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spans="1:22" ht="12.75" customHeight="1" x14ac:dyDescent="0.2">
      <c r="A307" s="89">
        <v>131002</v>
      </c>
      <c r="B307" s="93" t="s">
        <v>840</v>
      </c>
      <c r="C307" s="116">
        <v>1446541.5999069111</v>
      </c>
      <c r="D307" s="71">
        <f t="shared" si="8"/>
        <v>1482705.1399045838</v>
      </c>
      <c r="E307" s="71">
        <f t="shared" si="9"/>
        <v>1518290.0632622938</v>
      </c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spans="1:22" ht="12.75" customHeight="1" x14ac:dyDescent="0.2">
      <c r="A308" s="89">
        <v>131003</v>
      </c>
      <c r="B308" s="93" t="s">
        <v>841</v>
      </c>
      <c r="C308" s="116">
        <v>1544030.9779960287</v>
      </c>
      <c r="D308" s="71">
        <f t="shared" si="8"/>
        <v>1582631.7524459292</v>
      </c>
      <c r="E308" s="71">
        <f t="shared" si="9"/>
        <v>1620614.9145046317</v>
      </c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spans="1:22" ht="12.75" customHeight="1" x14ac:dyDescent="0.2">
      <c r="A309" s="89">
        <v>131004</v>
      </c>
      <c r="B309" s="93" t="s">
        <v>842</v>
      </c>
      <c r="C309" s="116">
        <v>1039745.7917539218</v>
      </c>
      <c r="D309" s="71">
        <f t="shared" si="8"/>
        <v>1065739.4365477697</v>
      </c>
      <c r="E309" s="71">
        <f t="shared" si="9"/>
        <v>1091317.1830249161</v>
      </c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spans="1:22" ht="12.75" customHeight="1" x14ac:dyDescent="0.2">
      <c r="A310" s="89">
        <v>131005</v>
      </c>
      <c r="B310" s="93" t="s">
        <v>843</v>
      </c>
      <c r="C310" s="116">
        <v>1639171.2083315861</v>
      </c>
      <c r="D310" s="71">
        <f t="shared" si="8"/>
        <v>1680150.4885398755</v>
      </c>
      <c r="E310" s="71">
        <f t="shared" si="9"/>
        <v>1720474.1002648326</v>
      </c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spans="1:22" ht="12.75" customHeight="1" x14ac:dyDescent="0.2">
      <c r="A311" s="89">
        <v>131006</v>
      </c>
      <c r="B311" s="93" t="s">
        <v>844</v>
      </c>
      <c r="C311" s="116">
        <v>2341102.3930570446</v>
      </c>
      <c r="D311" s="71">
        <f t="shared" si="8"/>
        <v>2399629.9528834703</v>
      </c>
      <c r="E311" s="71">
        <f t="shared" si="9"/>
        <v>2457221.0717526735</v>
      </c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spans="1:22" ht="12.75" customHeight="1" x14ac:dyDescent="0.2">
      <c r="A312" s="89">
        <v>131007</v>
      </c>
      <c r="B312" s="93" t="s">
        <v>845</v>
      </c>
      <c r="C312" s="116">
        <v>650649.90045720921</v>
      </c>
      <c r="D312" s="71">
        <f t="shared" si="8"/>
        <v>666916.14796863939</v>
      </c>
      <c r="E312" s="71">
        <f t="shared" si="9"/>
        <v>682922.13551988674</v>
      </c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spans="1:22" ht="12.75" customHeight="1" x14ac:dyDescent="0.2">
      <c r="A313" s="89">
        <v>131008</v>
      </c>
      <c r="B313" s="93" t="s">
        <v>846</v>
      </c>
      <c r="C313" s="116">
        <v>561382.52094333537</v>
      </c>
      <c r="D313" s="71">
        <f t="shared" si="8"/>
        <v>575417.08396691876</v>
      </c>
      <c r="E313" s="71">
        <f t="shared" si="9"/>
        <v>589227.09398212482</v>
      </c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spans="1:22" ht="12.75" customHeight="1" x14ac:dyDescent="0.2">
      <c r="A314" s="89">
        <v>131101</v>
      </c>
      <c r="B314" s="93" t="s">
        <v>847</v>
      </c>
      <c r="C314" s="116">
        <v>2576016.5496725016</v>
      </c>
      <c r="D314" s="71">
        <f t="shared" si="8"/>
        <v>2640416.9634143137</v>
      </c>
      <c r="E314" s="71">
        <f t="shared" si="9"/>
        <v>2703786.9705362571</v>
      </c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spans="1:22" ht="12.75" customHeight="1" x14ac:dyDescent="0.2">
      <c r="A315" s="89">
        <v>131102</v>
      </c>
      <c r="B315" s="93" t="s">
        <v>848</v>
      </c>
      <c r="C315" s="116">
        <v>1067935.4905477769</v>
      </c>
      <c r="D315" s="71">
        <f t="shared" si="8"/>
        <v>1094633.8778114712</v>
      </c>
      <c r="E315" s="71">
        <f t="shared" si="9"/>
        <v>1120905.0908789465</v>
      </c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spans="1:22" ht="12.75" customHeight="1" x14ac:dyDescent="0.2">
      <c r="A316" s="89">
        <v>131103</v>
      </c>
      <c r="B316" s="93" t="s">
        <v>849</v>
      </c>
      <c r="C316" s="116">
        <v>977493.54334452876</v>
      </c>
      <c r="D316" s="71">
        <f t="shared" si="8"/>
        <v>1001930.8819281419</v>
      </c>
      <c r="E316" s="71">
        <f t="shared" si="9"/>
        <v>1025977.2230944174</v>
      </c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spans="1:22" ht="12.75" customHeight="1" x14ac:dyDescent="0.2">
      <c r="A317" s="89">
        <v>131104</v>
      </c>
      <c r="B317" s="93" t="s">
        <v>850</v>
      </c>
      <c r="C317" s="116">
        <v>1039745.7917539218</v>
      </c>
      <c r="D317" s="71">
        <f t="shared" si="8"/>
        <v>1065739.4365477697</v>
      </c>
      <c r="E317" s="71">
        <f t="shared" si="9"/>
        <v>1091317.1830249161</v>
      </c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spans="1:22" ht="12.75" customHeight="1" x14ac:dyDescent="0.2">
      <c r="A318" s="89">
        <v>131105</v>
      </c>
      <c r="B318" s="93" t="s">
        <v>851</v>
      </c>
      <c r="C318" s="116">
        <v>561382.52094333537</v>
      </c>
      <c r="D318" s="71">
        <f t="shared" si="8"/>
        <v>575417.08396691876</v>
      </c>
      <c r="E318" s="71">
        <f t="shared" si="9"/>
        <v>589227.09398212482</v>
      </c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spans="1:22" ht="12.75" customHeight="1" x14ac:dyDescent="0.2">
      <c r="A319" s="89">
        <v>131201</v>
      </c>
      <c r="B319" s="93" t="s">
        <v>852</v>
      </c>
      <c r="C319" s="116">
        <v>1067935.4905477769</v>
      </c>
      <c r="D319" s="71">
        <f t="shared" si="8"/>
        <v>1094633.8778114712</v>
      </c>
      <c r="E319" s="71">
        <f t="shared" si="9"/>
        <v>1120905.0908789465</v>
      </c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spans="1:22" ht="12.75" customHeight="1" x14ac:dyDescent="0.2">
      <c r="A320" s="89">
        <v>131202</v>
      </c>
      <c r="B320" s="93" t="s">
        <v>853</v>
      </c>
      <c r="C320" s="116">
        <v>1006857.809827758</v>
      </c>
      <c r="D320" s="71">
        <f t="shared" si="8"/>
        <v>1032029.2550734519</v>
      </c>
      <c r="E320" s="71">
        <f t="shared" si="9"/>
        <v>1056797.9571952147</v>
      </c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spans="1:22" ht="12.75" customHeight="1" x14ac:dyDescent="0.2">
      <c r="A321" s="89">
        <v>131203</v>
      </c>
      <c r="B321" s="93" t="s">
        <v>854</v>
      </c>
      <c r="C321" s="116">
        <v>1309897.0780491042</v>
      </c>
      <c r="D321" s="71">
        <f t="shared" si="8"/>
        <v>1342644.5050003317</v>
      </c>
      <c r="E321" s="71">
        <f t="shared" si="9"/>
        <v>1374867.9731203397</v>
      </c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spans="1:22" ht="12.75" customHeight="1" x14ac:dyDescent="0.2">
      <c r="A322" s="89">
        <v>131204</v>
      </c>
      <c r="B322" s="93" t="s">
        <v>855</v>
      </c>
      <c r="C322" s="116">
        <v>1884656.4989010359</v>
      </c>
      <c r="D322" s="71">
        <f t="shared" si="8"/>
        <v>1931772.9113735617</v>
      </c>
      <c r="E322" s="71">
        <f t="shared" si="9"/>
        <v>1978135.4612465273</v>
      </c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spans="1:22" ht="12.75" customHeight="1" x14ac:dyDescent="0.2">
      <c r="A323" s="89">
        <v>131205</v>
      </c>
      <c r="B323" s="93" t="s">
        <v>856</v>
      </c>
      <c r="C323" s="116">
        <v>2576016.5496725016</v>
      </c>
      <c r="D323" s="71">
        <f t="shared" si="8"/>
        <v>2640416.9634143137</v>
      </c>
      <c r="E323" s="71">
        <f t="shared" si="9"/>
        <v>2703786.9705362571</v>
      </c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spans="1:22" ht="12.75" customHeight="1" x14ac:dyDescent="0.2">
      <c r="A324" s="89">
        <v>131206</v>
      </c>
      <c r="B324" s="93" t="s">
        <v>857</v>
      </c>
      <c r="C324" s="116">
        <v>561382.52094333537</v>
      </c>
      <c r="D324" s="71">
        <f t="shared" si="8"/>
        <v>575417.08396691876</v>
      </c>
      <c r="E324" s="71">
        <f t="shared" si="9"/>
        <v>589227.09398212482</v>
      </c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spans="1:22" ht="12.75" customHeight="1" x14ac:dyDescent="0.2">
      <c r="A325" s="89">
        <v>131301</v>
      </c>
      <c r="B325" s="93" t="s">
        <v>858</v>
      </c>
      <c r="C325" s="116">
        <v>930510.71202143736</v>
      </c>
      <c r="D325" s="71">
        <f t="shared" si="8"/>
        <v>953773.47982197325</v>
      </c>
      <c r="E325" s="71">
        <f t="shared" si="9"/>
        <v>976664.04333770066</v>
      </c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spans="1:22" ht="12.75" customHeight="1" x14ac:dyDescent="0.2">
      <c r="A326" s="89">
        <v>131302</v>
      </c>
      <c r="B326" s="93" t="s">
        <v>859</v>
      </c>
      <c r="C326" s="116">
        <v>603667.06913411769</v>
      </c>
      <c r="D326" s="71">
        <f t="shared" ref="D326:D389" si="10">IFERROR(C326*(1+$D$1),C326)</f>
        <v>618758.74586247059</v>
      </c>
      <c r="E326" s="71">
        <f t="shared" ref="E326:E389" si="11">IFERROR(D326*(1+$E$1),D326)</f>
        <v>633608.95576316991</v>
      </c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spans="1:22" ht="12.75" customHeight="1" x14ac:dyDescent="0.2">
      <c r="A327" s="89">
        <v>131303</v>
      </c>
      <c r="B327" s="93" t="s">
        <v>860</v>
      </c>
      <c r="C327" s="116">
        <v>561382.52094333537</v>
      </c>
      <c r="D327" s="71">
        <f t="shared" si="10"/>
        <v>575417.08396691876</v>
      </c>
      <c r="E327" s="71">
        <f t="shared" si="11"/>
        <v>589227.09398212482</v>
      </c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spans="1:22" ht="12.75" customHeight="1" x14ac:dyDescent="0.2">
      <c r="A328" s="89">
        <v>131304</v>
      </c>
      <c r="B328" s="93" t="s">
        <v>861</v>
      </c>
      <c r="C328" s="116">
        <v>2576016.5496725016</v>
      </c>
      <c r="D328" s="71">
        <f t="shared" si="10"/>
        <v>2640416.9634143137</v>
      </c>
      <c r="E328" s="71">
        <f t="shared" si="11"/>
        <v>2703786.9705362571</v>
      </c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spans="1:22" ht="12.75" customHeight="1" x14ac:dyDescent="0.2">
      <c r="A329" s="89">
        <v>131305</v>
      </c>
      <c r="B329" s="93" t="s">
        <v>862</v>
      </c>
      <c r="C329" s="116">
        <v>1508793.8483163044</v>
      </c>
      <c r="D329" s="71">
        <f t="shared" si="10"/>
        <v>1546513.6945242118</v>
      </c>
      <c r="E329" s="71">
        <f t="shared" si="11"/>
        <v>1583630.0231927929</v>
      </c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spans="1:22" ht="12.75" customHeight="1" x14ac:dyDescent="0.2">
      <c r="A330" s="89">
        <v>131306</v>
      </c>
      <c r="B330" s="93" t="s">
        <v>863</v>
      </c>
      <c r="C330" s="116">
        <v>1623901.7912452845</v>
      </c>
      <c r="D330" s="71">
        <f t="shared" si="10"/>
        <v>1664499.3360264164</v>
      </c>
      <c r="E330" s="71">
        <f t="shared" si="11"/>
        <v>1704447.3200910504</v>
      </c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spans="1:22" ht="12.75" customHeight="1" x14ac:dyDescent="0.2">
      <c r="A331" s="89">
        <v>131307</v>
      </c>
      <c r="B331" s="93" t="s">
        <v>864</v>
      </c>
      <c r="C331" s="116">
        <v>1274659.9483693789</v>
      </c>
      <c r="D331" s="71">
        <f t="shared" si="10"/>
        <v>1306526.4470786133</v>
      </c>
      <c r="E331" s="71">
        <f t="shared" si="11"/>
        <v>1337883.0818085</v>
      </c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spans="1:22" ht="12.75" customHeight="1" x14ac:dyDescent="0.2">
      <c r="A332" s="89">
        <v>131308</v>
      </c>
      <c r="B332" s="93" t="s">
        <v>865</v>
      </c>
      <c r="C332" s="116">
        <v>930510.71202143736</v>
      </c>
      <c r="D332" s="71">
        <f t="shared" si="10"/>
        <v>953773.47982197325</v>
      </c>
      <c r="E332" s="71">
        <f t="shared" si="11"/>
        <v>976664.04333770066</v>
      </c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spans="1:22" ht="12.75" customHeight="1" x14ac:dyDescent="0.2">
      <c r="A333" s="89">
        <v>131309</v>
      </c>
      <c r="B333" s="93" t="s">
        <v>866</v>
      </c>
      <c r="C333" s="116">
        <v>1039745.7917539218</v>
      </c>
      <c r="D333" s="71">
        <f t="shared" si="10"/>
        <v>1065739.4365477697</v>
      </c>
      <c r="E333" s="71">
        <f t="shared" si="11"/>
        <v>1091317.1830249161</v>
      </c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spans="1:22" ht="12.75" customHeight="1" x14ac:dyDescent="0.2">
      <c r="A334" s="89">
        <v>131310</v>
      </c>
      <c r="B334" s="93" t="s">
        <v>867</v>
      </c>
      <c r="C334" s="116">
        <v>959874.97850466648</v>
      </c>
      <c r="D334" s="71">
        <f t="shared" si="10"/>
        <v>983871.85296728311</v>
      </c>
      <c r="E334" s="71">
        <f t="shared" si="11"/>
        <v>1007484.7774384979</v>
      </c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spans="1:22" ht="12.75" customHeight="1" x14ac:dyDescent="0.2">
      <c r="A335" s="89">
        <v>131311</v>
      </c>
      <c r="B335" s="93" t="s">
        <v>868</v>
      </c>
      <c r="C335" s="116">
        <v>561382.52094333537</v>
      </c>
      <c r="D335" s="71">
        <f t="shared" si="10"/>
        <v>575417.08396691876</v>
      </c>
      <c r="E335" s="71">
        <f t="shared" si="11"/>
        <v>589227.09398212482</v>
      </c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spans="1:22" ht="12.75" customHeight="1" x14ac:dyDescent="0.2">
      <c r="A336" s="89">
        <v>131312</v>
      </c>
      <c r="B336" s="93" t="s">
        <v>869</v>
      </c>
      <c r="C336" s="116">
        <v>1212407.6999599864</v>
      </c>
      <c r="D336" s="71">
        <f t="shared" si="10"/>
        <v>1242717.892458986</v>
      </c>
      <c r="E336" s="71">
        <f t="shared" si="11"/>
        <v>1272543.1218780016</v>
      </c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spans="1:22" ht="12.75" customHeight="1" x14ac:dyDescent="0.2">
      <c r="A337" s="89">
        <v>131313</v>
      </c>
      <c r="B337" s="93" t="s">
        <v>870</v>
      </c>
      <c r="C337" s="116">
        <v>603667.06913411769</v>
      </c>
      <c r="D337" s="71">
        <f t="shared" si="10"/>
        <v>618758.74586247059</v>
      </c>
      <c r="E337" s="71">
        <f t="shared" si="11"/>
        <v>633608.95576316991</v>
      </c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spans="1:22" ht="12.75" customHeight="1" x14ac:dyDescent="0.2">
      <c r="A338" s="89">
        <v>1341320</v>
      </c>
      <c r="B338" s="93" t="s">
        <v>871</v>
      </c>
      <c r="C338" s="116">
        <v>517047.35437822464</v>
      </c>
      <c r="D338" s="71">
        <f t="shared" si="10"/>
        <v>529973.53823768022</v>
      </c>
      <c r="E338" s="71">
        <f t="shared" si="11"/>
        <v>542692.90315538459</v>
      </c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spans="1:22" ht="12.75" customHeight="1" x14ac:dyDescent="0.2">
      <c r="A339" s="89">
        <v>1341321</v>
      </c>
      <c r="B339" s="93" t="s">
        <v>872</v>
      </c>
      <c r="C339" s="116">
        <v>779112.45180280402</v>
      </c>
      <c r="D339" s="71">
        <f t="shared" si="10"/>
        <v>798590.26309787401</v>
      </c>
      <c r="E339" s="71">
        <f t="shared" si="11"/>
        <v>817756.42941222305</v>
      </c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spans="1:22" ht="12.75" customHeight="1" x14ac:dyDescent="0.2">
      <c r="A340" s="89">
        <v>1341322</v>
      </c>
      <c r="B340" s="93" t="s">
        <v>873</v>
      </c>
      <c r="C340" s="116">
        <v>736615.40897719667</v>
      </c>
      <c r="D340" s="71">
        <f t="shared" si="10"/>
        <v>755030.79420162656</v>
      </c>
      <c r="E340" s="71">
        <f t="shared" si="11"/>
        <v>773151.53326246561</v>
      </c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spans="1:22" ht="12.75" customHeight="1" x14ac:dyDescent="0.2">
      <c r="A341" s="89">
        <v>1341323</v>
      </c>
      <c r="B341" s="93" t="s">
        <v>874</v>
      </c>
      <c r="C341" s="116">
        <v>1345739.6894775708</v>
      </c>
      <c r="D341" s="71">
        <f t="shared" si="10"/>
        <v>1379383.1817145101</v>
      </c>
      <c r="E341" s="71">
        <f t="shared" si="11"/>
        <v>1412488.3780756583</v>
      </c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spans="1:22" ht="12.75" customHeight="1" x14ac:dyDescent="0.2">
      <c r="A342" s="89">
        <v>140101</v>
      </c>
      <c r="B342" s="93" t="s">
        <v>875</v>
      </c>
      <c r="C342" s="116">
        <v>2341102.3930570446</v>
      </c>
      <c r="D342" s="71">
        <f t="shared" si="10"/>
        <v>2399629.9528834703</v>
      </c>
      <c r="E342" s="71">
        <f t="shared" si="11"/>
        <v>2457221.0717526735</v>
      </c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spans="1:22" ht="12.75" customHeight="1" x14ac:dyDescent="0.2">
      <c r="A343" s="89">
        <v>140102</v>
      </c>
      <c r="B343" s="93" t="s">
        <v>876</v>
      </c>
      <c r="C343" s="116">
        <v>2457384.9036753983</v>
      </c>
      <c r="D343" s="71">
        <f t="shared" si="10"/>
        <v>2518819.5262672831</v>
      </c>
      <c r="E343" s="71">
        <f t="shared" si="11"/>
        <v>2579271.1948976978</v>
      </c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spans="1:22" ht="12.75" customHeight="1" x14ac:dyDescent="0.2">
      <c r="A344" s="89">
        <v>140103</v>
      </c>
      <c r="B344" s="93" t="s">
        <v>877</v>
      </c>
      <c r="C344" s="116">
        <v>1735486.0187313298</v>
      </c>
      <c r="D344" s="71">
        <f t="shared" si="10"/>
        <v>1778873.1691996129</v>
      </c>
      <c r="E344" s="71">
        <f t="shared" si="11"/>
        <v>1821566.1252604036</v>
      </c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spans="1:22" ht="12.75" customHeight="1" x14ac:dyDescent="0.2">
      <c r="A345" s="89">
        <v>140104</v>
      </c>
      <c r="B345" s="93" t="s">
        <v>878</v>
      </c>
      <c r="C345" s="116">
        <v>1389767.8912983597</v>
      </c>
      <c r="D345" s="71">
        <f t="shared" si="10"/>
        <v>1424512.0885808186</v>
      </c>
      <c r="E345" s="71">
        <f t="shared" si="11"/>
        <v>1458700.3787067584</v>
      </c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spans="1:22" ht="12.75" customHeight="1" x14ac:dyDescent="0.2">
      <c r="A346" s="89">
        <v>140105</v>
      </c>
      <c r="B346" s="93" t="s">
        <v>879</v>
      </c>
      <c r="C346" s="116">
        <v>1039745.7917539218</v>
      </c>
      <c r="D346" s="71">
        <f t="shared" si="10"/>
        <v>1065739.4365477697</v>
      </c>
      <c r="E346" s="71">
        <f t="shared" si="11"/>
        <v>1091317.1830249161</v>
      </c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spans="1:22" ht="12.75" customHeight="1" x14ac:dyDescent="0.2">
      <c r="A347" s="89">
        <v>140106</v>
      </c>
      <c r="B347" s="93" t="s">
        <v>880</v>
      </c>
      <c r="C347" s="116">
        <v>555509.67012165207</v>
      </c>
      <c r="D347" s="71">
        <f t="shared" si="10"/>
        <v>569397.41187469335</v>
      </c>
      <c r="E347" s="71">
        <f t="shared" si="11"/>
        <v>583062.94975968602</v>
      </c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spans="1:22" ht="12.75" customHeight="1" x14ac:dyDescent="0.2">
      <c r="A348" s="89">
        <v>140107</v>
      </c>
      <c r="B348" s="93" t="s">
        <v>881</v>
      </c>
      <c r="C348" s="116">
        <v>555509.67012165207</v>
      </c>
      <c r="D348" s="71">
        <f t="shared" si="10"/>
        <v>569397.41187469335</v>
      </c>
      <c r="E348" s="71">
        <f t="shared" si="11"/>
        <v>583062.94975968602</v>
      </c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spans="1:22" ht="12.75" customHeight="1" x14ac:dyDescent="0.2">
      <c r="A349" s="89">
        <v>140108</v>
      </c>
      <c r="B349" s="93" t="s">
        <v>882</v>
      </c>
      <c r="C349" s="116">
        <v>1274659.9483693789</v>
      </c>
      <c r="D349" s="71">
        <f t="shared" si="10"/>
        <v>1306526.4470786133</v>
      </c>
      <c r="E349" s="71">
        <f t="shared" si="11"/>
        <v>1337883.0818085</v>
      </c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spans="1:22" ht="12.75" customHeight="1" x14ac:dyDescent="0.2">
      <c r="A350" s="89">
        <v>140201</v>
      </c>
      <c r="B350" s="93" t="s">
        <v>883</v>
      </c>
      <c r="C350" s="116">
        <v>2208375.8976630145</v>
      </c>
      <c r="D350" s="71">
        <f t="shared" si="10"/>
        <v>2263585.2951045898</v>
      </c>
      <c r="E350" s="71">
        <f t="shared" si="11"/>
        <v>2317911.3421871001</v>
      </c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spans="1:22" ht="12.75" customHeight="1" x14ac:dyDescent="0.2">
      <c r="A351" s="89">
        <v>140202</v>
      </c>
      <c r="B351" s="93" t="s">
        <v>884</v>
      </c>
      <c r="C351" s="116">
        <v>1623901.7912452845</v>
      </c>
      <c r="D351" s="71">
        <f t="shared" si="10"/>
        <v>1664499.3360264164</v>
      </c>
      <c r="E351" s="71">
        <f t="shared" si="11"/>
        <v>1704447.3200910504</v>
      </c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spans="1:22" ht="12.75" customHeight="1" x14ac:dyDescent="0.2">
      <c r="A352" s="89">
        <v>140301</v>
      </c>
      <c r="B352" s="93" t="s">
        <v>885</v>
      </c>
      <c r="C352" s="116">
        <v>2409227.4922881206</v>
      </c>
      <c r="D352" s="71">
        <f t="shared" si="10"/>
        <v>2469458.1795953233</v>
      </c>
      <c r="E352" s="71">
        <f t="shared" si="11"/>
        <v>2528725.1759056109</v>
      </c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spans="1:22" ht="12.75" customHeight="1" x14ac:dyDescent="0.2">
      <c r="A353" s="89">
        <v>150101</v>
      </c>
      <c r="B353" s="93" t="s">
        <v>886</v>
      </c>
      <c r="C353" s="116">
        <v>1735486.0187313298</v>
      </c>
      <c r="D353" s="71">
        <f t="shared" si="10"/>
        <v>1778873.1691996129</v>
      </c>
      <c r="E353" s="71">
        <f t="shared" si="11"/>
        <v>1821566.1252604036</v>
      </c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spans="1:22" ht="12.75" customHeight="1" x14ac:dyDescent="0.2">
      <c r="A354" s="89">
        <v>150102</v>
      </c>
      <c r="B354" s="93" t="s">
        <v>887</v>
      </c>
      <c r="C354" s="116">
        <v>1735486.0187313298</v>
      </c>
      <c r="D354" s="71">
        <f t="shared" si="10"/>
        <v>1778873.1691996129</v>
      </c>
      <c r="E354" s="71">
        <f t="shared" si="11"/>
        <v>1821566.1252604036</v>
      </c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spans="1:22" ht="12.75" customHeight="1" x14ac:dyDescent="0.2">
      <c r="A355" s="89">
        <v>150103</v>
      </c>
      <c r="B355" s="93" t="s">
        <v>888</v>
      </c>
      <c r="C355" s="116">
        <v>1349052.2218177936</v>
      </c>
      <c r="D355" s="71">
        <f t="shared" si="10"/>
        <v>1382778.5273632384</v>
      </c>
      <c r="E355" s="71">
        <f t="shared" si="11"/>
        <v>1415965.2120199562</v>
      </c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spans="1:22" ht="12.75" customHeight="1" x14ac:dyDescent="0.2">
      <c r="A356" s="89">
        <v>150201</v>
      </c>
      <c r="B356" s="93" t="s">
        <v>889</v>
      </c>
      <c r="C356" s="116">
        <v>1735486.0187313298</v>
      </c>
      <c r="D356" s="71">
        <f t="shared" si="10"/>
        <v>1778873.1691996129</v>
      </c>
      <c r="E356" s="71">
        <f t="shared" si="11"/>
        <v>1821566.1252604036</v>
      </c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spans="1:22" ht="12.75" customHeight="1" x14ac:dyDescent="0.2">
      <c r="A357" s="89">
        <v>150202</v>
      </c>
      <c r="B357" s="93" t="s">
        <v>890</v>
      </c>
      <c r="C357" s="116">
        <v>1006857.809827758</v>
      </c>
      <c r="D357" s="71">
        <f t="shared" si="10"/>
        <v>1032029.2550734519</v>
      </c>
      <c r="E357" s="71">
        <f t="shared" si="11"/>
        <v>1056797.9571952147</v>
      </c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spans="1:22" ht="12.75" customHeight="1" x14ac:dyDescent="0.2">
      <c r="A358" s="89">
        <v>150203</v>
      </c>
      <c r="B358" s="93" t="s">
        <v>891</v>
      </c>
      <c r="C358" s="116">
        <v>1167774.0163904557</v>
      </c>
      <c r="D358" s="71">
        <f t="shared" si="10"/>
        <v>1196968.366800217</v>
      </c>
      <c r="E358" s="71">
        <f t="shared" si="11"/>
        <v>1225695.6076034221</v>
      </c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spans="1:22" ht="12.75" customHeight="1" x14ac:dyDescent="0.2">
      <c r="A359" s="89">
        <v>150301</v>
      </c>
      <c r="B359" s="93" t="s">
        <v>892</v>
      </c>
      <c r="C359" s="116">
        <v>1884656.4989010359</v>
      </c>
      <c r="D359" s="71">
        <f t="shared" si="10"/>
        <v>1931772.9113735617</v>
      </c>
      <c r="E359" s="71">
        <f t="shared" si="11"/>
        <v>1978135.4612465273</v>
      </c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spans="1:22" ht="12.75" customHeight="1" x14ac:dyDescent="0.2">
      <c r="A360" s="89">
        <v>150304</v>
      </c>
      <c r="B360" s="93" t="s">
        <v>893</v>
      </c>
      <c r="C360" s="116">
        <v>1623901.7912452845</v>
      </c>
      <c r="D360" s="71">
        <f t="shared" si="10"/>
        <v>1664499.3360264164</v>
      </c>
      <c r="E360" s="71">
        <f t="shared" si="11"/>
        <v>1704447.3200910504</v>
      </c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spans="1:22" ht="12.75" customHeight="1" x14ac:dyDescent="0.2">
      <c r="A361" s="89">
        <v>150401</v>
      </c>
      <c r="B361" s="93" t="s">
        <v>894</v>
      </c>
      <c r="C361" s="116">
        <v>2457384.9036753983</v>
      </c>
      <c r="D361" s="71">
        <f t="shared" si="10"/>
        <v>2518819.5262672831</v>
      </c>
      <c r="E361" s="71">
        <f t="shared" si="11"/>
        <v>2579271.1948976978</v>
      </c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spans="1:22" ht="12.75" customHeight="1" x14ac:dyDescent="0.2">
      <c r="A362" s="89">
        <v>150402</v>
      </c>
      <c r="B362" s="93" t="s">
        <v>895</v>
      </c>
      <c r="C362" s="116">
        <v>1389767.8912983597</v>
      </c>
      <c r="D362" s="71">
        <f t="shared" si="10"/>
        <v>1424512.0885808186</v>
      </c>
      <c r="E362" s="71">
        <f t="shared" si="11"/>
        <v>1458700.3787067584</v>
      </c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spans="1:22" ht="12.75" customHeight="1" x14ac:dyDescent="0.2">
      <c r="A363" s="89">
        <v>150403</v>
      </c>
      <c r="B363" s="93" t="s">
        <v>896</v>
      </c>
      <c r="C363" s="116">
        <v>2225994.450128064</v>
      </c>
      <c r="D363" s="71">
        <f t="shared" si="10"/>
        <v>2281644.3113812655</v>
      </c>
      <c r="E363" s="71">
        <f t="shared" si="11"/>
        <v>2336403.774854416</v>
      </c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spans="1:22" ht="12.75" customHeight="1" x14ac:dyDescent="0.2">
      <c r="A364" s="89">
        <v>150404</v>
      </c>
      <c r="B364" s="93" t="s">
        <v>897</v>
      </c>
      <c r="C364" s="116">
        <v>575477.37034026289</v>
      </c>
      <c r="D364" s="71">
        <f t="shared" si="10"/>
        <v>589864.30459876941</v>
      </c>
      <c r="E364" s="71">
        <f t="shared" si="11"/>
        <v>604021.04790913989</v>
      </c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spans="1:22" ht="12.75" customHeight="1" x14ac:dyDescent="0.2">
      <c r="A365" s="89">
        <v>150405</v>
      </c>
      <c r="B365" s="93" t="s">
        <v>898</v>
      </c>
      <c r="C365" s="116">
        <v>959874.97850466648</v>
      </c>
      <c r="D365" s="71">
        <f t="shared" si="10"/>
        <v>983871.85296728311</v>
      </c>
      <c r="E365" s="71">
        <f t="shared" si="11"/>
        <v>1007484.7774384979</v>
      </c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spans="1:22" ht="12.75" customHeight="1" x14ac:dyDescent="0.2">
      <c r="A366" s="89">
        <v>150406</v>
      </c>
      <c r="B366" s="93" t="s">
        <v>899</v>
      </c>
      <c r="C366" s="116">
        <v>1274659.9483693789</v>
      </c>
      <c r="D366" s="71">
        <f t="shared" si="10"/>
        <v>1306526.4470786133</v>
      </c>
      <c r="E366" s="71">
        <f t="shared" si="11"/>
        <v>1337883.0818085</v>
      </c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spans="1:22" ht="12.75" customHeight="1" x14ac:dyDescent="0.2">
      <c r="A367" s="89">
        <v>150407</v>
      </c>
      <c r="B367" s="93" t="s">
        <v>900</v>
      </c>
      <c r="C367" s="116">
        <v>603667.06913411769</v>
      </c>
      <c r="D367" s="71">
        <f t="shared" si="10"/>
        <v>618758.74586247059</v>
      </c>
      <c r="E367" s="71">
        <f t="shared" si="11"/>
        <v>633608.95576316991</v>
      </c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spans="1:22" ht="12.75" customHeight="1" x14ac:dyDescent="0.2">
      <c r="A368" s="89">
        <v>150408</v>
      </c>
      <c r="B368" s="93" t="s">
        <v>901</v>
      </c>
      <c r="C368" s="116">
        <v>541414.82072472456</v>
      </c>
      <c r="D368" s="71">
        <f t="shared" si="10"/>
        <v>554950.19124284259</v>
      </c>
      <c r="E368" s="71">
        <f t="shared" si="11"/>
        <v>568268.99583267083</v>
      </c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spans="1:22" ht="12.75" customHeight="1" x14ac:dyDescent="0.2">
      <c r="A369" s="89">
        <v>150409</v>
      </c>
      <c r="B369" s="93" t="s">
        <v>902</v>
      </c>
      <c r="C369" s="116">
        <v>603667.06913411769</v>
      </c>
      <c r="D369" s="71">
        <f t="shared" si="10"/>
        <v>618758.74586247059</v>
      </c>
      <c r="E369" s="71">
        <f t="shared" si="11"/>
        <v>633608.95576316991</v>
      </c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spans="1:22" ht="12.75" customHeight="1" x14ac:dyDescent="0.2">
      <c r="A370" s="89">
        <v>150410</v>
      </c>
      <c r="B370" s="93" t="s">
        <v>903</v>
      </c>
      <c r="C370" s="116">
        <v>714076.71655597643</v>
      </c>
      <c r="D370" s="71">
        <f t="shared" si="10"/>
        <v>731928.63446987572</v>
      </c>
      <c r="E370" s="71">
        <f t="shared" si="11"/>
        <v>749494.92169715278</v>
      </c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spans="1:22" ht="12.75" customHeight="1" x14ac:dyDescent="0.2">
      <c r="A371" s="89">
        <v>150411</v>
      </c>
      <c r="B371" s="93" t="s">
        <v>904</v>
      </c>
      <c r="C371" s="116">
        <v>541414.82072472456</v>
      </c>
      <c r="D371" s="71">
        <f t="shared" si="10"/>
        <v>554950.19124284259</v>
      </c>
      <c r="E371" s="71">
        <f t="shared" si="11"/>
        <v>568268.99583267083</v>
      </c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spans="1:22" ht="12.75" customHeight="1" x14ac:dyDescent="0.2">
      <c r="A372" s="89">
        <v>160101</v>
      </c>
      <c r="B372" s="93" t="s">
        <v>905</v>
      </c>
      <c r="C372" s="116">
        <v>1768374.0006574939</v>
      </c>
      <c r="D372" s="71">
        <f t="shared" si="10"/>
        <v>1812583.3506739312</v>
      </c>
      <c r="E372" s="71">
        <f t="shared" si="11"/>
        <v>1856085.3510901055</v>
      </c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spans="1:22" ht="12.75" customHeight="1" x14ac:dyDescent="0.2">
      <c r="A373" s="89">
        <v>160102</v>
      </c>
      <c r="B373" s="93" t="s">
        <v>906</v>
      </c>
      <c r="C373" s="116">
        <v>1735486.0187313298</v>
      </c>
      <c r="D373" s="71">
        <f t="shared" si="10"/>
        <v>1778873.1691996129</v>
      </c>
      <c r="E373" s="71">
        <f t="shared" si="11"/>
        <v>1821566.1252604036</v>
      </c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spans="1:22" ht="12.75" customHeight="1" x14ac:dyDescent="0.2">
      <c r="A374" s="89">
        <v>160103</v>
      </c>
      <c r="B374" s="93" t="s">
        <v>907</v>
      </c>
      <c r="C374" s="116">
        <v>1044444.0748862309</v>
      </c>
      <c r="D374" s="71">
        <f t="shared" si="10"/>
        <v>1070555.1767583867</v>
      </c>
      <c r="E374" s="71">
        <f t="shared" si="11"/>
        <v>1096248.5010005881</v>
      </c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spans="1:22" ht="12.75" customHeight="1" x14ac:dyDescent="0.2">
      <c r="A375" s="89">
        <v>160104</v>
      </c>
      <c r="B375" s="93" t="s">
        <v>908</v>
      </c>
      <c r="C375" s="116">
        <v>1401907.9163373802</v>
      </c>
      <c r="D375" s="71">
        <f t="shared" si="10"/>
        <v>1436955.6142458145</v>
      </c>
      <c r="E375" s="71">
        <f t="shared" si="11"/>
        <v>1471442.5489877141</v>
      </c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spans="1:22" ht="12.75" customHeight="1" x14ac:dyDescent="0.2">
      <c r="A376" s="89">
        <v>160108</v>
      </c>
      <c r="B376" s="93" t="s">
        <v>909</v>
      </c>
      <c r="C376" s="116">
        <v>977493.54334452876</v>
      </c>
      <c r="D376" s="71">
        <f t="shared" si="10"/>
        <v>1001930.8819281419</v>
      </c>
      <c r="E376" s="71">
        <f t="shared" si="11"/>
        <v>1025977.2230944174</v>
      </c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spans="1:22" ht="12.75" customHeight="1" x14ac:dyDescent="0.2">
      <c r="A377" s="89">
        <v>160109</v>
      </c>
      <c r="B377" s="93" t="s">
        <v>910</v>
      </c>
      <c r="C377" s="116">
        <v>1006857.809827758</v>
      </c>
      <c r="D377" s="71">
        <f t="shared" si="10"/>
        <v>1032029.2550734519</v>
      </c>
      <c r="E377" s="71">
        <f t="shared" si="11"/>
        <v>1056797.9571952147</v>
      </c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spans="1:22" ht="12.75" customHeight="1" x14ac:dyDescent="0.2">
      <c r="A378" s="89">
        <v>160110</v>
      </c>
      <c r="B378" s="93" t="s">
        <v>911</v>
      </c>
      <c r="C378" s="116">
        <v>575477.37034026289</v>
      </c>
      <c r="D378" s="71">
        <f t="shared" si="10"/>
        <v>589864.30459876941</v>
      </c>
      <c r="E378" s="71">
        <f t="shared" si="11"/>
        <v>604021.04790913989</v>
      </c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spans="1:22" ht="12.75" customHeight="1" x14ac:dyDescent="0.2">
      <c r="A379" s="89">
        <v>160111</v>
      </c>
      <c r="B379" s="93" t="s">
        <v>912</v>
      </c>
      <c r="C379" s="116">
        <v>555509.67012165207</v>
      </c>
      <c r="D379" s="71">
        <f t="shared" si="10"/>
        <v>569397.41187469335</v>
      </c>
      <c r="E379" s="71">
        <f t="shared" si="11"/>
        <v>583062.94975968602</v>
      </c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spans="1:22" ht="12.75" customHeight="1" x14ac:dyDescent="0.2">
      <c r="A380" s="89">
        <v>170612</v>
      </c>
      <c r="B380" s="93" t="s">
        <v>913</v>
      </c>
      <c r="C380" s="116">
        <v>1039745.7917539218</v>
      </c>
      <c r="D380" s="71">
        <f t="shared" si="10"/>
        <v>1065739.4365477697</v>
      </c>
      <c r="E380" s="71">
        <f t="shared" si="11"/>
        <v>1091317.1830249161</v>
      </c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spans="1:22" ht="12.75" customHeight="1" x14ac:dyDescent="0.2">
      <c r="A381" s="89">
        <v>170613</v>
      </c>
      <c r="B381" s="93" t="s">
        <v>914</v>
      </c>
      <c r="C381" s="116">
        <v>1261739.6790366382</v>
      </c>
      <c r="D381" s="71">
        <f t="shared" si="10"/>
        <v>1293283.1710125541</v>
      </c>
      <c r="E381" s="71">
        <f t="shared" si="11"/>
        <v>1324321.9671168553</v>
      </c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spans="1:22" ht="12.75" customHeight="1" x14ac:dyDescent="0.2">
      <c r="A382" s="89">
        <v>170614</v>
      </c>
      <c r="B382" s="93" t="s">
        <v>915</v>
      </c>
      <c r="C382" s="116">
        <v>1067935.4905477769</v>
      </c>
      <c r="D382" s="71">
        <f t="shared" si="10"/>
        <v>1094633.8778114712</v>
      </c>
      <c r="E382" s="71">
        <f t="shared" si="11"/>
        <v>1120905.0908789465</v>
      </c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spans="1:22" ht="12.75" customHeight="1" x14ac:dyDescent="0.2">
      <c r="A383" s="89">
        <v>170615</v>
      </c>
      <c r="B383" s="93" t="s">
        <v>916</v>
      </c>
      <c r="C383" s="116">
        <v>561382.52094333537</v>
      </c>
      <c r="D383" s="71">
        <f t="shared" si="10"/>
        <v>575417.08396691876</v>
      </c>
      <c r="E383" s="71">
        <f t="shared" si="11"/>
        <v>589227.09398212482</v>
      </c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spans="1:22" ht="12.75" customHeight="1" x14ac:dyDescent="0.2">
      <c r="A384" s="89">
        <v>180101</v>
      </c>
      <c r="B384" s="93" t="s">
        <v>917</v>
      </c>
      <c r="C384" s="116">
        <v>3158603.6580788363</v>
      </c>
      <c r="D384" s="71">
        <f t="shared" si="10"/>
        <v>3237568.7495308067</v>
      </c>
      <c r="E384" s="71">
        <f t="shared" si="11"/>
        <v>3315270.399519546</v>
      </c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spans="1:22" ht="12.75" customHeight="1" x14ac:dyDescent="0.2">
      <c r="A385" s="89">
        <v>180102</v>
      </c>
      <c r="B385" s="93" t="s">
        <v>918</v>
      </c>
      <c r="C385" s="116">
        <v>2807406.9908450241</v>
      </c>
      <c r="D385" s="71">
        <f t="shared" si="10"/>
        <v>2877592.1656161495</v>
      </c>
      <c r="E385" s="71">
        <f t="shared" si="11"/>
        <v>2946654.3775909371</v>
      </c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spans="1:22" ht="12.75" customHeight="1" x14ac:dyDescent="0.2">
      <c r="A386" s="89">
        <v>180103</v>
      </c>
      <c r="B386" s="93" t="s">
        <v>919</v>
      </c>
      <c r="C386" s="116">
        <v>1735486.0187313298</v>
      </c>
      <c r="D386" s="71">
        <f t="shared" si="10"/>
        <v>1778873.1691996129</v>
      </c>
      <c r="E386" s="71">
        <f t="shared" si="11"/>
        <v>1821566.1252604036</v>
      </c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spans="1:22" ht="12.75" customHeight="1" x14ac:dyDescent="0.2">
      <c r="A387" s="89">
        <v>180104</v>
      </c>
      <c r="B387" s="93" t="s">
        <v>920</v>
      </c>
      <c r="C387" s="116">
        <v>2576016.5496725016</v>
      </c>
      <c r="D387" s="71">
        <f t="shared" si="10"/>
        <v>2640416.9634143137</v>
      </c>
      <c r="E387" s="71">
        <f t="shared" si="11"/>
        <v>2703786.9705362571</v>
      </c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spans="1:22" ht="12.75" customHeight="1" x14ac:dyDescent="0.2">
      <c r="A388" s="89">
        <v>180105</v>
      </c>
      <c r="B388" s="93" t="s">
        <v>921</v>
      </c>
      <c r="C388" s="116">
        <v>2225994.450128064</v>
      </c>
      <c r="D388" s="71">
        <f t="shared" si="10"/>
        <v>2281644.3113812655</v>
      </c>
      <c r="E388" s="71">
        <f t="shared" si="11"/>
        <v>2336403.774854416</v>
      </c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spans="1:22" ht="12.75" customHeight="1" x14ac:dyDescent="0.2">
      <c r="A389" s="89">
        <v>180106</v>
      </c>
      <c r="B389" s="93" t="s">
        <v>922</v>
      </c>
      <c r="C389" s="116">
        <v>2225994.450128064</v>
      </c>
      <c r="D389" s="71">
        <f t="shared" si="10"/>
        <v>2281644.3113812655</v>
      </c>
      <c r="E389" s="71">
        <f t="shared" si="11"/>
        <v>2336403.774854416</v>
      </c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spans="1:22" ht="12.75" customHeight="1" x14ac:dyDescent="0.2">
      <c r="A390" s="89">
        <v>180107</v>
      </c>
      <c r="B390" s="93" t="s">
        <v>923</v>
      </c>
      <c r="C390" s="116">
        <v>3158603.6580788363</v>
      </c>
      <c r="D390" s="71">
        <f t="shared" ref="D390:D453" si="12">IFERROR(C390*(1+$D$1),C390)</f>
        <v>3237568.7495308067</v>
      </c>
      <c r="E390" s="71">
        <f t="shared" ref="E390:E453" si="13">IFERROR(D390*(1+$E$1),D390)</f>
        <v>3315270.399519546</v>
      </c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spans="1:22" ht="12.75" customHeight="1" x14ac:dyDescent="0.2">
      <c r="A391" s="89">
        <v>180108</v>
      </c>
      <c r="B391" s="93" t="s">
        <v>924</v>
      </c>
      <c r="C391" s="116">
        <v>1650522.5989541106</v>
      </c>
      <c r="D391" s="71">
        <f t="shared" si="12"/>
        <v>1691785.6639279632</v>
      </c>
      <c r="E391" s="71">
        <f t="shared" si="13"/>
        <v>1732388.5198622344</v>
      </c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spans="1:22" ht="12.75" customHeight="1" x14ac:dyDescent="0.2">
      <c r="A392" s="89">
        <v>180109</v>
      </c>
      <c r="B392" s="93" t="s">
        <v>925</v>
      </c>
      <c r="C392" s="116">
        <v>1884656.4989010359</v>
      </c>
      <c r="D392" s="71">
        <f t="shared" si="12"/>
        <v>1931772.9113735617</v>
      </c>
      <c r="E392" s="71">
        <f t="shared" si="13"/>
        <v>1978135.4612465273</v>
      </c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spans="1:22" ht="12.75" customHeight="1" x14ac:dyDescent="0.2">
      <c r="A393" s="89">
        <v>180110</v>
      </c>
      <c r="B393" s="93" t="s">
        <v>926</v>
      </c>
      <c r="C393" s="116">
        <v>1389767.8912983597</v>
      </c>
      <c r="D393" s="71">
        <f t="shared" si="12"/>
        <v>1424512.0885808186</v>
      </c>
      <c r="E393" s="71">
        <f t="shared" si="13"/>
        <v>1458700.3787067584</v>
      </c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spans="1:22" ht="12.75" customHeight="1" x14ac:dyDescent="0.2">
      <c r="A394" s="89">
        <v>180111</v>
      </c>
      <c r="B394" s="93" t="s">
        <v>927</v>
      </c>
      <c r="C394" s="116">
        <v>1389767.8912983597</v>
      </c>
      <c r="D394" s="71">
        <f t="shared" si="12"/>
        <v>1424512.0885808186</v>
      </c>
      <c r="E394" s="71">
        <f t="shared" si="13"/>
        <v>1458700.3787067584</v>
      </c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spans="1:22" ht="12.75" customHeight="1" x14ac:dyDescent="0.2">
      <c r="A395" s="89">
        <v>180202</v>
      </c>
      <c r="B395" s="93" t="s">
        <v>928</v>
      </c>
      <c r="C395" s="116">
        <v>1623901.7912452845</v>
      </c>
      <c r="D395" s="71">
        <f t="shared" si="12"/>
        <v>1664499.3360264164</v>
      </c>
      <c r="E395" s="71">
        <f t="shared" si="13"/>
        <v>1704447.3200910504</v>
      </c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spans="1:22" ht="12.75" customHeight="1" x14ac:dyDescent="0.2">
      <c r="A396" s="89">
        <v>180203</v>
      </c>
      <c r="B396" s="93" t="s">
        <v>929</v>
      </c>
      <c r="C396" s="116">
        <v>1191265.4320520009</v>
      </c>
      <c r="D396" s="71">
        <f t="shared" si="12"/>
        <v>1221047.0678533008</v>
      </c>
      <c r="E396" s="71">
        <f t="shared" si="13"/>
        <v>1250352.1974817801</v>
      </c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spans="1:22" ht="12.75" customHeight="1" x14ac:dyDescent="0.2">
      <c r="A397" s="89">
        <v>180204</v>
      </c>
      <c r="B397" s="93" t="s">
        <v>930</v>
      </c>
      <c r="C397" s="116">
        <v>1309897.0780491042</v>
      </c>
      <c r="D397" s="71">
        <f t="shared" si="12"/>
        <v>1342644.5050003317</v>
      </c>
      <c r="E397" s="71">
        <f t="shared" si="13"/>
        <v>1374867.9731203397</v>
      </c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spans="1:22" ht="12.75" customHeight="1" x14ac:dyDescent="0.2">
      <c r="A398" s="89">
        <v>180205</v>
      </c>
      <c r="B398" s="93" t="s">
        <v>931</v>
      </c>
      <c r="C398" s="116">
        <v>1212407.6999599864</v>
      </c>
      <c r="D398" s="71">
        <f t="shared" si="12"/>
        <v>1242717.892458986</v>
      </c>
      <c r="E398" s="71">
        <f t="shared" si="13"/>
        <v>1272543.1218780016</v>
      </c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spans="1:22" ht="12.75" customHeight="1" x14ac:dyDescent="0.2">
      <c r="A399" s="89">
        <v>180206</v>
      </c>
      <c r="B399" s="93" t="s">
        <v>932</v>
      </c>
      <c r="C399" s="116">
        <v>1261739.6790366382</v>
      </c>
      <c r="D399" s="71">
        <f t="shared" si="12"/>
        <v>1293283.1710125541</v>
      </c>
      <c r="E399" s="71">
        <f t="shared" si="13"/>
        <v>1324321.9671168553</v>
      </c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spans="1:22" ht="12.75" customHeight="1" x14ac:dyDescent="0.2">
      <c r="A400" s="89">
        <v>180207</v>
      </c>
      <c r="B400" s="93" t="s">
        <v>933</v>
      </c>
      <c r="C400" s="116">
        <v>1067935.4905477769</v>
      </c>
      <c r="D400" s="71">
        <f t="shared" si="12"/>
        <v>1094633.8778114712</v>
      </c>
      <c r="E400" s="71">
        <f t="shared" si="13"/>
        <v>1120905.0908789465</v>
      </c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spans="1:22" ht="12.75" customHeight="1" x14ac:dyDescent="0.2">
      <c r="A401" s="89">
        <v>180208</v>
      </c>
      <c r="B401" s="93" t="s">
        <v>934</v>
      </c>
      <c r="C401" s="116">
        <v>1067935.4905477769</v>
      </c>
      <c r="D401" s="71">
        <f t="shared" si="12"/>
        <v>1094633.8778114712</v>
      </c>
      <c r="E401" s="71">
        <f t="shared" si="13"/>
        <v>1120905.0908789465</v>
      </c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spans="1:22" ht="12.75" customHeight="1" x14ac:dyDescent="0.2">
      <c r="A402" s="89">
        <v>180209</v>
      </c>
      <c r="B402" s="93" t="s">
        <v>935</v>
      </c>
      <c r="C402" s="116">
        <v>1212407.6999599864</v>
      </c>
      <c r="D402" s="71">
        <f t="shared" si="12"/>
        <v>1242717.892458986</v>
      </c>
      <c r="E402" s="71">
        <f t="shared" si="13"/>
        <v>1272543.1218780016</v>
      </c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spans="1:22" ht="12.75" customHeight="1" x14ac:dyDescent="0.2">
      <c r="A403" s="89">
        <v>180212</v>
      </c>
      <c r="B403" s="93" t="s">
        <v>936</v>
      </c>
      <c r="C403" s="116">
        <v>541414.82072472456</v>
      </c>
      <c r="D403" s="71">
        <f t="shared" si="12"/>
        <v>554950.19124284259</v>
      </c>
      <c r="E403" s="71">
        <f t="shared" si="13"/>
        <v>568268.99583267083</v>
      </c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spans="1:22" ht="12.75" customHeight="1" x14ac:dyDescent="0.2">
      <c r="A404" s="89">
        <v>180213</v>
      </c>
      <c r="B404" s="93" t="s">
        <v>937</v>
      </c>
      <c r="C404" s="116">
        <v>1656789.7731714486</v>
      </c>
      <c r="D404" s="71">
        <f t="shared" si="12"/>
        <v>1698209.5175007347</v>
      </c>
      <c r="E404" s="71">
        <f t="shared" si="13"/>
        <v>1738966.5459207522</v>
      </c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spans="1:22" ht="12.75" customHeight="1" x14ac:dyDescent="0.2">
      <c r="A405" s="89">
        <v>180214</v>
      </c>
      <c r="B405" s="93" t="s">
        <v>938</v>
      </c>
      <c r="C405" s="116">
        <v>1274659.9483693789</v>
      </c>
      <c r="D405" s="71">
        <f t="shared" si="12"/>
        <v>1306526.4470786133</v>
      </c>
      <c r="E405" s="71">
        <f t="shared" si="13"/>
        <v>1337883.0818085</v>
      </c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spans="1:22" ht="12.75" customHeight="1" x14ac:dyDescent="0.2">
      <c r="A406" s="89">
        <v>180301</v>
      </c>
      <c r="B406" s="93" t="s">
        <v>939</v>
      </c>
      <c r="C406" s="116">
        <v>2576016.5496725016</v>
      </c>
      <c r="D406" s="71">
        <f t="shared" si="12"/>
        <v>2640416.9634143137</v>
      </c>
      <c r="E406" s="71">
        <f t="shared" si="13"/>
        <v>2703786.9705362571</v>
      </c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spans="1:22" ht="12.75" customHeight="1" x14ac:dyDescent="0.2">
      <c r="A407" s="89">
        <v>180302</v>
      </c>
      <c r="B407" s="93" t="s">
        <v>940</v>
      </c>
      <c r="C407" s="116">
        <v>1735486.0187313298</v>
      </c>
      <c r="D407" s="71">
        <f t="shared" si="12"/>
        <v>1778873.1691996129</v>
      </c>
      <c r="E407" s="71">
        <f t="shared" si="13"/>
        <v>1821566.1252604036</v>
      </c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spans="1:22" ht="12.75" customHeight="1" x14ac:dyDescent="0.2">
      <c r="A408" s="89">
        <v>180303</v>
      </c>
      <c r="B408" s="93" t="s">
        <v>941</v>
      </c>
      <c r="C408" s="116">
        <v>1212407.6999599864</v>
      </c>
      <c r="D408" s="71">
        <f t="shared" si="12"/>
        <v>1242717.892458986</v>
      </c>
      <c r="E408" s="71">
        <f t="shared" si="13"/>
        <v>1272543.1218780016</v>
      </c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spans="1:22" ht="12.75" customHeight="1" x14ac:dyDescent="0.2">
      <c r="A409" s="89">
        <v>180304</v>
      </c>
      <c r="B409" s="93" t="s">
        <v>942</v>
      </c>
      <c r="C409" s="116">
        <v>1167774.0163904557</v>
      </c>
      <c r="D409" s="71">
        <f t="shared" si="12"/>
        <v>1196968.366800217</v>
      </c>
      <c r="E409" s="71">
        <f t="shared" si="13"/>
        <v>1225695.6076034221</v>
      </c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spans="1:22" ht="12.75" customHeight="1" x14ac:dyDescent="0.2">
      <c r="A410" s="89">
        <v>180305</v>
      </c>
      <c r="B410" s="93" t="s">
        <v>943</v>
      </c>
      <c r="C410" s="116">
        <v>1212407.6999599864</v>
      </c>
      <c r="D410" s="71">
        <f t="shared" si="12"/>
        <v>1242717.892458986</v>
      </c>
      <c r="E410" s="71">
        <f t="shared" si="13"/>
        <v>1272543.1218780016</v>
      </c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spans="1:22" ht="12.75" customHeight="1" x14ac:dyDescent="0.2">
      <c r="A411" s="89">
        <v>180306</v>
      </c>
      <c r="B411" s="93" t="s">
        <v>944</v>
      </c>
      <c r="C411" s="116">
        <v>1389767.8912983597</v>
      </c>
      <c r="D411" s="71">
        <f t="shared" si="12"/>
        <v>1424512.0885808186</v>
      </c>
      <c r="E411" s="71">
        <f t="shared" si="13"/>
        <v>1458700.3787067584</v>
      </c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spans="1:22" ht="12.75" customHeight="1" x14ac:dyDescent="0.2">
      <c r="A412" s="89">
        <v>180307</v>
      </c>
      <c r="B412" s="93" t="s">
        <v>945</v>
      </c>
      <c r="C412" s="116">
        <v>1623901.7912452845</v>
      </c>
      <c r="D412" s="71">
        <f t="shared" si="12"/>
        <v>1664499.3360264164</v>
      </c>
      <c r="E412" s="71">
        <f t="shared" si="13"/>
        <v>1704447.3200910504</v>
      </c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spans="1:22" ht="12.75" customHeight="1" x14ac:dyDescent="0.2">
      <c r="A413" s="89">
        <v>180308</v>
      </c>
      <c r="B413" s="93" t="s">
        <v>946</v>
      </c>
      <c r="C413" s="116">
        <v>1332213.9260212756</v>
      </c>
      <c r="D413" s="71">
        <f t="shared" si="12"/>
        <v>1365519.2741718073</v>
      </c>
      <c r="E413" s="71">
        <f t="shared" si="13"/>
        <v>1398291.7367519308</v>
      </c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spans="1:22" ht="12.75" customHeight="1" x14ac:dyDescent="0.2">
      <c r="A414" s="89">
        <v>180309</v>
      </c>
      <c r="B414" s="93" t="s">
        <v>947</v>
      </c>
      <c r="C414" s="116">
        <v>1623901.7912452845</v>
      </c>
      <c r="D414" s="71">
        <f t="shared" si="12"/>
        <v>1664499.3360264164</v>
      </c>
      <c r="E414" s="71">
        <f t="shared" si="13"/>
        <v>1704447.3200910504</v>
      </c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spans="1:22" ht="12.75" customHeight="1" x14ac:dyDescent="0.2">
      <c r="A415" s="89">
        <v>180310</v>
      </c>
      <c r="B415" s="93" t="s">
        <v>948</v>
      </c>
      <c r="C415" s="116">
        <v>1999764.4418300164</v>
      </c>
      <c r="D415" s="71">
        <f t="shared" si="12"/>
        <v>2049758.5528757668</v>
      </c>
      <c r="E415" s="71">
        <f t="shared" si="13"/>
        <v>2098952.7581447852</v>
      </c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spans="1:22" ht="12.75" customHeight="1" x14ac:dyDescent="0.2">
      <c r="A416" s="89">
        <v>180311</v>
      </c>
      <c r="B416" s="93" t="s">
        <v>949</v>
      </c>
      <c r="C416" s="116">
        <v>1332213.9260212756</v>
      </c>
      <c r="D416" s="71">
        <f t="shared" si="12"/>
        <v>1365519.2741718073</v>
      </c>
      <c r="E416" s="71">
        <f t="shared" si="13"/>
        <v>1398291.7367519308</v>
      </c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spans="1:22" ht="12.75" customHeight="1" x14ac:dyDescent="0.2">
      <c r="A417" s="89">
        <v>180401</v>
      </c>
      <c r="B417" s="93" t="s">
        <v>950</v>
      </c>
      <c r="C417" s="116">
        <v>1566347.8259682003</v>
      </c>
      <c r="D417" s="71">
        <f t="shared" si="12"/>
        <v>1605506.5216174051</v>
      </c>
      <c r="E417" s="71">
        <f t="shared" si="13"/>
        <v>1644038.6781362228</v>
      </c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spans="1:22" ht="12.75" customHeight="1" x14ac:dyDescent="0.2">
      <c r="A418" s="89">
        <v>180402</v>
      </c>
      <c r="B418" s="93" t="s">
        <v>951</v>
      </c>
      <c r="C418" s="116">
        <v>1167774.0163904557</v>
      </c>
      <c r="D418" s="71">
        <f t="shared" si="12"/>
        <v>1196968.366800217</v>
      </c>
      <c r="E418" s="71">
        <f t="shared" si="13"/>
        <v>1225695.6076034221</v>
      </c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spans="1:22" ht="12.75" customHeight="1" x14ac:dyDescent="0.2">
      <c r="A419" s="89">
        <v>180403</v>
      </c>
      <c r="B419" s="93" t="s">
        <v>952</v>
      </c>
      <c r="C419" s="116">
        <v>1332213.9260212756</v>
      </c>
      <c r="D419" s="71">
        <f t="shared" si="12"/>
        <v>1365519.2741718073</v>
      </c>
      <c r="E419" s="71">
        <f t="shared" si="13"/>
        <v>1398291.7367519308</v>
      </c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spans="1:22" ht="12.75" customHeight="1" x14ac:dyDescent="0.2">
      <c r="A420" s="89">
        <v>180404</v>
      </c>
      <c r="B420" s="93" t="s">
        <v>953</v>
      </c>
      <c r="C420" s="116">
        <v>1389767.8912983597</v>
      </c>
      <c r="D420" s="71">
        <f t="shared" si="12"/>
        <v>1424512.0885808186</v>
      </c>
      <c r="E420" s="71">
        <f t="shared" si="13"/>
        <v>1458700.3787067584</v>
      </c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spans="1:22" ht="12.75" customHeight="1" x14ac:dyDescent="0.2">
      <c r="A421" s="89">
        <v>180405</v>
      </c>
      <c r="B421" s="93" t="s">
        <v>954</v>
      </c>
      <c r="C421" s="116">
        <v>930510.71202143736</v>
      </c>
      <c r="D421" s="71">
        <f t="shared" si="12"/>
        <v>953773.47982197325</v>
      </c>
      <c r="E421" s="71">
        <f t="shared" si="13"/>
        <v>976664.04333770066</v>
      </c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spans="1:22" ht="12.75" customHeight="1" x14ac:dyDescent="0.2">
      <c r="A422" s="89">
        <v>180406</v>
      </c>
      <c r="B422" s="93" t="s">
        <v>955</v>
      </c>
      <c r="C422" s="116">
        <v>1623901.7912452845</v>
      </c>
      <c r="D422" s="71">
        <f t="shared" si="12"/>
        <v>1664499.3360264164</v>
      </c>
      <c r="E422" s="71">
        <f t="shared" si="13"/>
        <v>1704447.3200910504</v>
      </c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spans="1:22" ht="12.75" customHeight="1" x14ac:dyDescent="0.2">
      <c r="A423" s="89">
        <v>180501</v>
      </c>
      <c r="B423" s="93" t="s">
        <v>956</v>
      </c>
      <c r="C423" s="116">
        <v>2576016.5496725016</v>
      </c>
      <c r="D423" s="71">
        <f t="shared" si="12"/>
        <v>2640416.9634143137</v>
      </c>
      <c r="E423" s="71">
        <f t="shared" si="13"/>
        <v>2703786.9705362571</v>
      </c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spans="1:22" ht="12.75" customHeight="1" x14ac:dyDescent="0.2">
      <c r="A424" s="89">
        <v>180502</v>
      </c>
      <c r="B424" s="93" t="s">
        <v>957</v>
      </c>
      <c r="C424" s="116">
        <v>2341102.3930570446</v>
      </c>
      <c r="D424" s="71">
        <f t="shared" si="12"/>
        <v>2399629.9528834703</v>
      </c>
      <c r="E424" s="71">
        <f t="shared" si="13"/>
        <v>2457221.0717526735</v>
      </c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spans="1:22" ht="12.75" customHeight="1" x14ac:dyDescent="0.2">
      <c r="A425" s="89">
        <v>180503</v>
      </c>
      <c r="B425" s="93" t="s">
        <v>958</v>
      </c>
      <c r="C425" s="116">
        <v>1884656.4989010359</v>
      </c>
      <c r="D425" s="71">
        <f t="shared" si="12"/>
        <v>1931772.9113735617</v>
      </c>
      <c r="E425" s="71">
        <f t="shared" si="13"/>
        <v>1978135.4612465273</v>
      </c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spans="1:22" ht="12.75" customHeight="1" x14ac:dyDescent="0.2">
      <c r="A426" s="89">
        <v>180504</v>
      </c>
      <c r="B426" s="93" t="s">
        <v>959</v>
      </c>
      <c r="C426" s="116">
        <v>1389767.8912983597</v>
      </c>
      <c r="D426" s="71">
        <f t="shared" si="12"/>
        <v>1424512.0885808186</v>
      </c>
      <c r="E426" s="71">
        <f t="shared" si="13"/>
        <v>1458700.3787067584</v>
      </c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spans="1:22" ht="12.75" customHeight="1" x14ac:dyDescent="0.2">
      <c r="A427" s="89">
        <v>180505</v>
      </c>
      <c r="B427" s="93" t="s">
        <v>960</v>
      </c>
      <c r="C427" s="116">
        <v>1735486.0187313298</v>
      </c>
      <c r="D427" s="71">
        <f t="shared" si="12"/>
        <v>1778873.1691996129</v>
      </c>
      <c r="E427" s="71">
        <f t="shared" si="13"/>
        <v>1821566.1252604036</v>
      </c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spans="1:22" ht="12.75" customHeight="1" x14ac:dyDescent="0.2">
      <c r="A428" s="89">
        <v>180508</v>
      </c>
      <c r="B428" s="93" t="s">
        <v>961</v>
      </c>
      <c r="C428" s="116">
        <v>2817265.7068518079</v>
      </c>
      <c r="D428" s="71">
        <f t="shared" si="12"/>
        <v>2887697.3495231029</v>
      </c>
      <c r="E428" s="71">
        <f t="shared" si="13"/>
        <v>2957002.0859116572</v>
      </c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spans="1:22" ht="12.75" customHeight="1" x14ac:dyDescent="0.2">
      <c r="A429" s="89">
        <v>180509</v>
      </c>
      <c r="B429" s="93" t="s">
        <v>962</v>
      </c>
      <c r="C429" s="116">
        <v>2807406.9908450241</v>
      </c>
      <c r="D429" s="71">
        <f t="shared" si="12"/>
        <v>2877592.1656161495</v>
      </c>
      <c r="E429" s="71">
        <f t="shared" si="13"/>
        <v>2946654.3775909371</v>
      </c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spans="1:22" ht="12.75" customHeight="1" x14ac:dyDescent="0.2">
      <c r="A430" s="89">
        <v>180510</v>
      </c>
      <c r="B430" s="93" t="s">
        <v>963</v>
      </c>
      <c r="C430" s="116">
        <v>2585413.1159371198</v>
      </c>
      <c r="D430" s="71">
        <f t="shared" si="12"/>
        <v>2650048.4438355477</v>
      </c>
      <c r="E430" s="71">
        <f t="shared" si="13"/>
        <v>2713649.6064876011</v>
      </c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spans="1:22" ht="12.75" customHeight="1" x14ac:dyDescent="0.2">
      <c r="A431" s="89">
        <v>180511</v>
      </c>
      <c r="B431" s="93" t="s">
        <v>964</v>
      </c>
      <c r="C431" s="116">
        <v>1544030.9779960287</v>
      </c>
      <c r="D431" s="71">
        <f t="shared" si="12"/>
        <v>1582631.7524459292</v>
      </c>
      <c r="E431" s="71">
        <f t="shared" si="13"/>
        <v>1620614.9145046317</v>
      </c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spans="1:22" ht="12.75" customHeight="1" x14ac:dyDescent="0.2">
      <c r="A432" s="89">
        <v>180512</v>
      </c>
      <c r="B432" s="93" t="s">
        <v>965</v>
      </c>
      <c r="C432" s="116">
        <v>1735486.0187313298</v>
      </c>
      <c r="D432" s="71">
        <f t="shared" si="12"/>
        <v>1778873.1691996129</v>
      </c>
      <c r="E432" s="71">
        <f t="shared" si="13"/>
        <v>1821566.1252604036</v>
      </c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spans="1:22" ht="12.75" customHeight="1" x14ac:dyDescent="0.2">
      <c r="A433" s="89">
        <v>180513</v>
      </c>
      <c r="B433" s="93" t="s">
        <v>966</v>
      </c>
      <c r="C433" s="116">
        <v>1212407.6999599864</v>
      </c>
      <c r="D433" s="71">
        <f t="shared" si="12"/>
        <v>1242717.892458986</v>
      </c>
      <c r="E433" s="71">
        <f t="shared" si="13"/>
        <v>1272543.1218780016</v>
      </c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spans="1:22" ht="12.75" customHeight="1" x14ac:dyDescent="0.2">
      <c r="A434" s="89">
        <v>180514</v>
      </c>
      <c r="B434" s="93" t="s">
        <v>967</v>
      </c>
      <c r="C434" s="116">
        <v>1039745.7917539218</v>
      </c>
      <c r="D434" s="71">
        <f t="shared" si="12"/>
        <v>1065739.4365477697</v>
      </c>
      <c r="E434" s="71">
        <f t="shared" si="13"/>
        <v>1091317.1830249161</v>
      </c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spans="1:22" ht="12.75" customHeight="1" x14ac:dyDescent="0.2">
      <c r="A435" s="89">
        <v>180518</v>
      </c>
      <c r="B435" s="93" t="s">
        <v>968</v>
      </c>
      <c r="C435" s="116">
        <v>1274659.9483693789</v>
      </c>
      <c r="D435" s="71">
        <f t="shared" si="12"/>
        <v>1306526.4470786133</v>
      </c>
      <c r="E435" s="71">
        <f t="shared" si="13"/>
        <v>1337883.0818085</v>
      </c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spans="1:22" ht="12.75" customHeight="1" x14ac:dyDescent="0.2">
      <c r="A436" s="89">
        <v>180519</v>
      </c>
      <c r="B436" s="93" t="s">
        <v>969</v>
      </c>
      <c r="C436" s="116">
        <v>1389767.8912983597</v>
      </c>
      <c r="D436" s="71">
        <f t="shared" si="12"/>
        <v>1424512.0885808186</v>
      </c>
      <c r="E436" s="71">
        <f t="shared" si="13"/>
        <v>1458700.3787067584</v>
      </c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spans="1:22" ht="12.75" customHeight="1" x14ac:dyDescent="0.2">
      <c r="A437" s="89">
        <v>180520</v>
      </c>
      <c r="B437" s="93" t="s">
        <v>970</v>
      </c>
      <c r="C437" s="116">
        <v>1389767.8912983597</v>
      </c>
      <c r="D437" s="71">
        <f t="shared" si="12"/>
        <v>1424512.0885808186</v>
      </c>
      <c r="E437" s="71">
        <f t="shared" si="13"/>
        <v>1458700.3787067584</v>
      </c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spans="1:22" ht="12.75" customHeight="1" x14ac:dyDescent="0.2">
      <c r="A438" s="89">
        <v>180521</v>
      </c>
      <c r="B438" s="93" t="s">
        <v>971</v>
      </c>
      <c r="C438" s="116">
        <v>1261739.6790366382</v>
      </c>
      <c r="D438" s="71">
        <f t="shared" si="12"/>
        <v>1293283.1710125541</v>
      </c>
      <c r="E438" s="71">
        <f t="shared" si="13"/>
        <v>1324321.9671168553</v>
      </c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spans="1:22" ht="12.75" customHeight="1" x14ac:dyDescent="0.2">
      <c r="A439" s="89">
        <v>180522</v>
      </c>
      <c r="B439" s="93" t="s">
        <v>972</v>
      </c>
      <c r="C439" s="116">
        <v>977493.54334452876</v>
      </c>
      <c r="D439" s="71">
        <f t="shared" si="12"/>
        <v>1001930.8819281419</v>
      </c>
      <c r="E439" s="71">
        <f t="shared" si="13"/>
        <v>1025977.2230944174</v>
      </c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spans="1:22" ht="12.75" customHeight="1" x14ac:dyDescent="0.2">
      <c r="A440" s="89">
        <v>180523</v>
      </c>
      <c r="B440" s="93" t="s">
        <v>973</v>
      </c>
      <c r="C440" s="116">
        <v>603667.06913411769</v>
      </c>
      <c r="D440" s="71">
        <f t="shared" si="12"/>
        <v>618758.74586247059</v>
      </c>
      <c r="E440" s="71">
        <f t="shared" si="13"/>
        <v>633608.95576316991</v>
      </c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spans="1:22" ht="12.75" customHeight="1" x14ac:dyDescent="0.2">
      <c r="A441" s="89">
        <v>180524</v>
      </c>
      <c r="B441" s="93" t="s">
        <v>974</v>
      </c>
      <c r="C441" s="116">
        <v>1151330.0192399672</v>
      </c>
      <c r="D441" s="71">
        <f t="shared" si="12"/>
        <v>1180113.2697209662</v>
      </c>
      <c r="E441" s="71">
        <f t="shared" si="13"/>
        <v>1208435.9881942694</v>
      </c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spans="1:22" ht="12.75" customHeight="1" x14ac:dyDescent="0.2">
      <c r="A442" s="89">
        <v>180525</v>
      </c>
      <c r="B442" s="93" t="s">
        <v>975</v>
      </c>
      <c r="C442" s="116">
        <v>728171.56595290406</v>
      </c>
      <c r="D442" s="71">
        <f t="shared" si="12"/>
        <v>746375.8551017266</v>
      </c>
      <c r="E442" s="71">
        <f t="shared" si="13"/>
        <v>764288.87562416808</v>
      </c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spans="1:22" ht="12.75" customHeight="1" x14ac:dyDescent="0.2">
      <c r="A443" s="89">
        <v>180526</v>
      </c>
      <c r="B443" s="93" t="s">
        <v>976</v>
      </c>
      <c r="C443" s="116">
        <v>603667.06913411769</v>
      </c>
      <c r="D443" s="71">
        <f t="shared" si="12"/>
        <v>618758.74586247059</v>
      </c>
      <c r="E443" s="71">
        <f t="shared" si="13"/>
        <v>633608.95576316991</v>
      </c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spans="1:22" ht="12.75" customHeight="1" x14ac:dyDescent="0.2">
      <c r="A444" s="89">
        <v>180601</v>
      </c>
      <c r="B444" s="93" t="s">
        <v>977</v>
      </c>
      <c r="C444" s="116">
        <v>1006857.809827758</v>
      </c>
      <c r="D444" s="71">
        <f t="shared" si="12"/>
        <v>1032029.2550734519</v>
      </c>
      <c r="E444" s="71">
        <f t="shared" si="13"/>
        <v>1056797.9571952147</v>
      </c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spans="1:22" ht="12.75" customHeight="1" x14ac:dyDescent="0.2">
      <c r="A445" s="89">
        <v>180602</v>
      </c>
      <c r="B445" s="93" t="s">
        <v>978</v>
      </c>
      <c r="C445" s="116">
        <v>1212407.6999599864</v>
      </c>
      <c r="D445" s="71">
        <f t="shared" si="12"/>
        <v>1242717.892458986</v>
      </c>
      <c r="E445" s="71">
        <f t="shared" si="13"/>
        <v>1272543.1218780016</v>
      </c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spans="1:22" ht="12.75" customHeight="1" x14ac:dyDescent="0.2">
      <c r="A446" s="89">
        <v>180603</v>
      </c>
      <c r="B446" s="93" t="s">
        <v>979</v>
      </c>
      <c r="C446" s="116">
        <v>1650522.5989541106</v>
      </c>
      <c r="D446" s="71">
        <f t="shared" si="12"/>
        <v>1691785.6639279632</v>
      </c>
      <c r="E446" s="71">
        <f t="shared" si="13"/>
        <v>1732388.5198622344</v>
      </c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spans="1:22" ht="12.75" customHeight="1" x14ac:dyDescent="0.2">
      <c r="A447" s="89">
        <v>180604</v>
      </c>
      <c r="B447" s="93" t="s">
        <v>980</v>
      </c>
      <c r="C447" s="116">
        <v>1067935.4905477769</v>
      </c>
      <c r="D447" s="71">
        <f t="shared" si="12"/>
        <v>1094633.8778114712</v>
      </c>
      <c r="E447" s="71">
        <f t="shared" si="13"/>
        <v>1120905.0908789465</v>
      </c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spans="1:22" ht="12.75" customHeight="1" x14ac:dyDescent="0.2">
      <c r="A448" s="89">
        <v>180605</v>
      </c>
      <c r="B448" s="93" t="s">
        <v>981</v>
      </c>
      <c r="C448" s="116">
        <v>650649.90045720921</v>
      </c>
      <c r="D448" s="71">
        <f t="shared" si="12"/>
        <v>666916.14796863939</v>
      </c>
      <c r="E448" s="71">
        <f t="shared" si="13"/>
        <v>682922.13551988674</v>
      </c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spans="1:22" ht="12.75" customHeight="1" x14ac:dyDescent="0.2">
      <c r="A449" s="89">
        <v>180606</v>
      </c>
      <c r="B449" s="93" t="s">
        <v>982</v>
      </c>
      <c r="C449" s="116">
        <v>1006857.809827758</v>
      </c>
      <c r="D449" s="71">
        <f t="shared" si="12"/>
        <v>1032029.2550734519</v>
      </c>
      <c r="E449" s="71">
        <f t="shared" si="13"/>
        <v>1056797.9571952147</v>
      </c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spans="1:22" ht="12.75" customHeight="1" x14ac:dyDescent="0.2">
      <c r="A450" s="89">
        <v>180607</v>
      </c>
      <c r="B450" s="93" t="s">
        <v>983</v>
      </c>
      <c r="C450" s="116">
        <v>575477.37034026289</v>
      </c>
      <c r="D450" s="71">
        <f t="shared" si="12"/>
        <v>589864.30459876941</v>
      </c>
      <c r="E450" s="71">
        <f t="shared" si="13"/>
        <v>604021.04790913989</v>
      </c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spans="1:22" ht="12.75" customHeight="1" x14ac:dyDescent="0.2">
      <c r="A451" s="89">
        <v>180608</v>
      </c>
      <c r="B451" s="93" t="s">
        <v>984</v>
      </c>
      <c r="C451" s="116">
        <v>1039745.7917539218</v>
      </c>
      <c r="D451" s="71">
        <f t="shared" si="12"/>
        <v>1065739.4365477697</v>
      </c>
      <c r="E451" s="71">
        <f t="shared" si="13"/>
        <v>1091317.1830249161</v>
      </c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spans="1:22" ht="12.75" customHeight="1" x14ac:dyDescent="0.2">
      <c r="A452" s="89">
        <v>180609</v>
      </c>
      <c r="B452" s="93" t="s">
        <v>985</v>
      </c>
      <c r="C452" s="116">
        <v>603667.06913411769</v>
      </c>
      <c r="D452" s="71">
        <f t="shared" si="12"/>
        <v>618758.74586247059</v>
      </c>
      <c r="E452" s="71">
        <f t="shared" si="13"/>
        <v>633608.95576316991</v>
      </c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spans="1:22" ht="12.75" customHeight="1" x14ac:dyDescent="0.2">
      <c r="A453" s="89">
        <v>180610</v>
      </c>
      <c r="B453" s="93" t="s">
        <v>986</v>
      </c>
      <c r="C453" s="116">
        <v>561382.52094333537</v>
      </c>
      <c r="D453" s="71">
        <f t="shared" si="12"/>
        <v>575417.08396691876</v>
      </c>
      <c r="E453" s="71">
        <f t="shared" si="13"/>
        <v>589227.09398212482</v>
      </c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spans="1:22" ht="12.75" customHeight="1" x14ac:dyDescent="0.2">
      <c r="A454" s="89">
        <v>180611</v>
      </c>
      <c r="B454" s="93" t="s">
        <v>987</v>
      </c>
      <c r="C454" s="116">
        <v>1039745.7917539218</v>
      </c>
      <c r="D454" s="71">
        <f t="shared" ref="D454:D500" si="14">IFERROR(C454*(1+$D$1),C454)</f>
        <v>1065739.4365477697</v>
      </c>
      <c r="E454" s="71">
        <f t="shared" ref="E454:E500" si="15">IFERROR(D454*(1+$E$1),D454)</f>
        <v>1091317.1830249161</v>
      </c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spans="1:22" ht="12.75" customHeight="1" x14ac:dyDescent="0.2">
      <c r="A455" s="89">
        <v>180612</v>
      </c>
      <c r="B455" s="93" t="s">
        <v>988</v>
      </c>
      <c r="C455" s="116">
        <v>650649.90045720921</v>
      </c>
      <c r="D455" s="71">
        <f t="shared" si="14"/>
        <v>666916.14796863939</v>
      </c>
      <c r="E455" s="71">
        <f t="shared" si="15"/>
        <v>682922.13551988674</v>
      </c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spans="1:22" ht="12.75" customHeight="1" x14ac:dyDescent="0.2">
      <c r="A456" s="89">
        <v>180613</v>
      </c>
      <c r="B456" s="93" t="s">
        <v>989</v>
      </c>
      <c r="C456" s="116">
        <v>650649.90045720921</v>
      </c>
      <c r="D456" s="71">
        <f t="shared" si="14"/>
        <v>666916.14796863939</v>
      </c>
      <c r="E456" s="71">
        <f t="shared" si="15"/>
        <v>682922.13551988674</v>
      </c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spans="1:22" ht="12.75" customHeight="1" x14ac:dyDescent="0.2">
      <c r="A457" s="89">
        <v>180614</v>
      </c>
      <c r="B457" s="93" t="s">
        <v>990</v>
      </c>
      <c r="C457" s="116">
        <v>575477.37034026289</v>
      </c>
      <c r="D457" s="71">
        <f t="shared" si="14"/>
        <v>589864.30459876941</v>
      </c>
      <c r="E457" s="71">
        <f t="shared" si="15"/>
        <v>604021.04790913989</v>
      </c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spans="1:22" ht="12.75" customHeight="1" x14ac:dyDescent="0.2">
      <c r="A458" s="89">
        <v>180615</v>
      </c>
      <c r="B458" s="93" t="s">
        <v>991</v>
      </c>
      <c r="C458" s="116">
        <v>582524.78885132039</v>
      </c>
      <c r="D458" s="71">
        <f t="shared" si="14"/>
        <v>597087.90857260337</v>
      </c>
      <c r="E458" s="71">
        <f t="shared" si="15"/>
        <v>611418.01837834588</v>
      </c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spans="1:22" ht="12.75" customHeight="1" x14ac:dyDescent="0.2">
      <c r="A459" s="89">
        <v>180616</v>
      </c>
      <c r="B459" s="93" t="s">
        <v>992</v>
      </c>
      <c r="C459" s="116">
        <v>588397.6520478162</v>
      </c>
      <c r="D459" s="71">
        <f t="shared" si="14"/>
        <v>603107.5933490115</v>
      </c>
      <c r="E459" s="71">
        <f t="shared" si="15"/>
        <v>617582.17558938777</v>
      </c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spans="1:22" ht="12.75" customHeight="1" x14ac:dyDescent="0.2">
      <c r="A460" s="89">
        <v>180617</v>
      </c>
      <c r="B460" s="93" t="s">
        <v>993</v>
      </c>
      <c r="C460" s="116">
        <v>977493.54334452876</v>
      </c>
      <c r="D460" s="71">
        <f t="shared" si="14"/>
        <v>1001930.8819281419</v>
      </c>
      <c r="E460" s="71">
        <f t="shared" si="15"/>
        <v>1025977.2230944174</v>
      </c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spans="1:22" ht="12.75" customHeight="1" x14ac:dyDescent="0.2">
      <c r="A461" s="89">
        <v>180701</v>
      </c>
      <c r="B461" s="93" t="s">
        <v>994</v>
      </c>
      <c r="C461" s="116">
        <v>3156254.5103252758</v>
      </c>
      <c r="D461" s="71">
        <f t="shared" si="14"/>
        <v>3235160.8730834075</v>
      </c>
      <c r="E461" s="71">
        <f t="shared" si="15"/>
        <v>3312804.7340374095</v>
      </c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spans="1:22" ht="12.75" customHeight="1" x14ac:dyDescent="0.2">
      <c r="A462" s="89">
        <v>180702</v>
      </c>
      <c r="B462" s="93" t="s">
        <v>995</v>
      </c>
      <c r="C462" s="116">
        <v>2116046.9524483704</v>
      </c>
      <c r="D462" s="71">
        <f t="shared" si="14"/>
        <v>2168948.1262595793</v>
      </c>
      <c r="E462" s="71">
        <f t="shared" si="15"/>
        <v>2221002.8812898095</v>
      </c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spans="1:22" ht="12.75" customHeight="1" x14ac:dyDescent="0.2">
      <c r="A463" s="89">
        <v>180703</v>
      </c>
      <c r="B463" s="93" t="s">
        <v>996</v>
      </c>
      <c r="C463" s="116">
        <v>1735486.0187313298</v>
      </c>
      <c r="D463" s="71">
        <f t="shared" si="14"/>
        <v>1778873.1691996129</v>
      </c>
      <c r="E463" s="71">
        <f t="shared" si="15"/>
        <v>1821566.1252604036</v>
      </c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spans="1:22" ht="12.75" customHeight="1" x14ac:dyDescent="0.2">
      <c r="A464" s="89">
        <v>180704</v>
      </c>
      <c r="B464" s="93" t="s">
        <v>997</v>
      </c>
      <c r="C464" s="116">
        <v>1389767.8912983597</v>
      </c>
      <c r="D464" s="71">
        <f t="shared" si="14"/>
        <v>1424512.0885808186</v>
      </c>
      <c r="E464" s="71">
        <f t="shared" si="15"/>
        <v>1458700.3787067584</v>
      </c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spans="1:22" ht="12.75" customHeight="1" x14ac:dyDescent="0.2">
      <c r="A465" s="89">
        <v>180705</v>
      </c>
      <c r="B465" s="93" t="s">
        <v>998</v>
      </c>
      <c r="C465" s="116">
        <v>1274659.9483693789</v>
      </c>
      <c r="D465" s="71">
        <f t="shared" si="14"/>
        <v>1306526.4470786133</v>
      </c>
      <c r="E465" s="71">
        <f t="shared" si="15"/>
        <v>1337883.0818085</v>
      </c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spans="1:22" ht="12.75" customHeight="1" x14ac:dyDescent="0.2">
      <c r="A466" s="89">
        <v>180706</v>
      </c>
      <c r="B466" s="93" t="s">
        <v>999</v>
      </c>
      <c r="C466" s="116">
        <v>1167774.0163904557</v>
      </c>
      <c r="D466" s="71">
        <f t="shared" si="14"/>
        <v>1196968.366800217</v>
      </c>
      <c r="E466" s="71">
        <f t="shared" si="15"/>
        <v>1225695.6076034221</v>
      </c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spans="1:22" ht="12.75" customHeight="1" x14ac:dyDescent="0.2">
      <c r="A467" s="89">
        <v>180707</v>
      </c>
      <c r="B467" s="93" t="s">
        <v>1000</v>
      </c>
      <c r="C467" s="116">
        <v>667710.10138885537</v>
      </c>
      <c r="D467" s="71">
        <f t="shared" si="14"/>
        <v>684402.85392357665</v>
      </c>
      <c r="E467" s="71">
        <f t="shared" si="15"/>
        <v>700828.52241774253</v>
      </c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spans="1:22" ht="12.75" customHeight="1" x14ac:dyDescent="0.2">
      <c r="A468" s="89">
        <v>180708</v>
      </c>
      <c r="B468" s="93" t="s">
        <v>1001</v>
      </c>
      <c r="C468" s="116">
        <v>1274659.9483693789</v>
      </c>
      <c r="D468" s="71">
        <f t="shared" si="14"/>
        <v>1306526.4470786133</v>
      </c>
      <c r="E468" s="71">
        <f t="shared" si="15"/>
        <v>1337883.0818085</v>
      </c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spans="1:22" ht="12.75" customHeight="1" x14ac:dyDescent="0.2">
      <c r="A469" s="89">
        <v>180709</v>
      </c>
      <c r="B469" s="93" t="s">
        <v>1002</v>
      </c>
      <c r="C469" s="116">
        <v>1679106.6211436202</v>
      </c>
      <c r="D469" s="71">
        <f t="shared" si="14"/>
        <v>1721084.2866722106</v>
      </c>
      <c r="E469" s="71">
        <f t="shared" si="15"/>
        <v>1762390.3095523436</v>
      </c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spans="1:22" ht="12.75" customHeight="1" x14ac:dyDescent="0.2">
      <c r="A470" s="89">
        <v>180710</v>
      </c>
      <c r="B470" s="93" t="s">
        <v>1003</v>
      </c>
      <c r="C470" s="116">
        <v>2225994.450128064</v>
      </c>
      <c r="D470" s="71">
        <f t="shared" si="14"/>
        <v>2281644.3113812655</v>
      </c>
      <c r="E470" s="71">
        <f t="shared" si="15"/>
        <v>2336403.774854416</v>
      </c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spans="1:22" ht="12.75" customHeight="1" x14ac:dyDescent="0.2">
      <c r="A471" s="89">
        <v>180711</v>
      </c>
      <c r="B471" s="93" t="s">
        <v>1004</v>
      </c>
      <c r="C471" s="116">
        <v>1679106.6211436202</v>
      </c>
      <c r="D471" s="71">
        <f t="shared" si="14"/>
        <v>1721084.2866722106</v>
      </c>
      <c r="E471" s="71">
        <f t="shared" si="15"/>
        <v>1762390.3095523436</v>
      </c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spans="1:22" ht="12.75" customHeight="1" x14ac:dyDescent="0.2">
      <c r="A472" s="89">
        <v>180712</v>
      </c>
      <c r="B472" s="93" t="s">
        <v>1005</v>
      </c>
      <c r="C472" s="116">
        <v>2225994.450128064</v>
      </c>
      <c r="D472" s="71">
        <f t="shared" si="14"/>
        <v>2281644.3113812655</v>
      </c>
      <c r="E472" s="71">
        <f t="shared" si="15"/>
        <v>2336403.774854416</v>
      </c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spans="1:22" ht="12.75" customHeight="1" x14ac:dyDescent="0.2">
      <c r="A473" s="89">
        <v>180713</v>
      </c>
      <c r="B473" s="93" t="s">
        <v>1006</v>
      </c>
      <c r="C473" s="116">
        <v>2576016.5496725016</v>
      </c>
      <c r="D473" s="71">
        <f t="shared" si="14"/>
        <v>2640416.9634143137</v>
      </c>
      <c r="E473" s="71">
        <f t="shared" si="15"/>
        <v>2703786.9705362571</v>
      </c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spans="1:22" ht="12.75" customHeight="1" x14ac:dyDescent="0.2">
      <c r="A474" s="89">
        <v>180714</v>
      </c>
      <c r="B474" s="93" t="s">
        <v>1007</v>
      </c>
      <c r="C474" s="116">
        <v>2457384.9036753983</v>
      </c>
      <c r="D474" s="71">
        <f t="shared" si="14"/>
        <v>2518819.5262672831</v>
      </c>
      <c r="E474" s="71">
        <f t="shared" si="15"/>
        <v>2579271.1948976978</v>
      </c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spans="1:22" ht="12.75" customHeight="1" x14ac:dyDescent="0.2">
      <c r="A475" s="89">
        <v>180715</v>
      </c>
      <c r="B475" s="93" t="s">
        <v>1008</v>
      </c>
      <c r="C475" s="116">
        <v>857374.35827881156</v>
      </c>
      <c r="D475" s="71">
        <f t="shared" si="14"/>
        <v>878808.71723578172</v>
      </c>
      <c r="E475" s="71">
        <f t="shared" si="15"/>
        <v>899900.12644944049</v>
      </c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spans="1:22" ht="12.75" customHeight="1" x14ac:dyDescent="0.2">
      <c r="A476" s="89">
        <v>180801</v>
      </c>
      <c r="B476" s="93" t="s">
        <v>1009</v>
      </c>
      <c r="C476" s="116">
        <v>3158603.6580788363</v>
      </c>
      <c r="D476" s="71">
        <f t="shared" si="14"/>
        <v>3237568.7495308067</v>
      </c>
      <c r="E476" s="71">
        <f t="shared" si="15"/>
        <v>3315270.399519546</v>
      </c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spans="1:22" ht="12.75" customHeight="1" x14ac:dyDescent="0.2">
      <c r="A477" s="89">
        <v>180802</v>
      </c>
      <c r="B477" s="93" t="s">
        <v>1010</v>
      </c>
      <c r="C477" s="116">
        <v>1999764.4418300164</v>
      </c>
      <c r="D477" s="71">
        <f t="shared" si="14"/>
        <v>2049758.5528757668</v>
      </c>
      <c r="E477" s="71">
        <f t="shared" si="15"/>
        <v>2098952.7581447852</v>
      </c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spans="1:22" ht="12.75" customHeight="1" x14ac:dyDescent="0.2">
      <c r="A478" s="89">
        <v>180803</v>
      </c>
      <c r="B478" s="93" t="s">
        <v>1011</v>
      </c>
      <c r="C478" s="116">
        <v>1735486.0187313298</v>
      </c>
      <c r="D478" s="71">
        <f t="shared" si="14"/>
        <v>1778873.1691996129</v>
      </c>
      <c r="E478" s="71">
        <f t="shared" si="15"/>
        <v>1821566.1252604036</v>
      </c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spans="1:22" ht="12.75" customHeight="1" x14ac:dyDescent="0.2">
      <c r="A479" s="89">
        <v>180804</v>
      </c>
      <c r="B479" s="93" t="s">
        <v>1012</v>
      </c>
      <c r="C479" s="116">
        <v>1999764.4418300164</v>
      </c>
      <c r="D479" s="71">
        <f t="shared" si="14"/>
        <v>2049758.5528757668</v>
      </c>
      <c r="E479" s="71">
        <f t="shared" si="15"/>
        <v>2098952.7581447852</v>
      </c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spans="1:22" ht="12.75" customHeight="1" x14ac:dyDescent="0.2">
      <c r="A480" s="89">
        <v>180805</v>
      </c>
      <c r="B480" s="93" t="s">
        <v>1013</v>
      </c>
      <c r="C480" s="116">
        <v>1274659.9483693789</v>
      </c>
      <c r="D480" s="71">
        <f t="shared" si="14"/>
        <v>1306526.4470786133</v>
      </c>
      <c r="E480" s="71">
        <f t="shared" si="15"/>
        <v>1337883.0818085</v>
      </c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spans="1:22" ht="12.75" customHeight="1" x14ac:dyDescent="0.2">
      <c r="A481" s="89">
        <v>180901</v>
      </c>
      <c r="B481" s="93" t="s">
        <v>1014</v>
      </c>
      <c r="C481" s="116">
        <v>1501352.1187844046</v>
      </c>
      <c r="D481" s="71">
        <f t="shared" si="14"/>
        <v>1538885.9217540147</v>
      </c>
      <c r="E481" s="71">
        <f t="shared" si="15"/>
        <v>1575819.1838761112</v>
      </c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spans="1:22" ht="12.75" customHeight="1" x14ac:dyDescent="0.2">
      <c r="A482" s="89">
        <v>1900413</v>
      </c>
      <c r="B482" s="93" t="s">
        <v>1015</v>
      </c>
      <c r="C482" s="116">
        <v>509964.51390729001</v>
      </c>
      <c r="D482" s="71">
        <f t="shared" si="14"/>
        <v>522713.62675497221</v>
      </c>
      <c r="E482" s="71">
        <f t="shared" si="15"/>
        <v>535258.75379709154</v>
      </c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spans="1:22" ht="12.75" customHeight="1" x14ac:dyDescent="0.2">
      <c r="A483" s="89">
        <v>1900441</v>
      </c>
      <c r="B483" s="93" t="s">
        <v>1016</v>
      </c>
      <c r="C483" s="116">
        <v>531213.03532009386</v>
      </c>
      <c r="D483" s="71">
        <f t="shared" si="14"/>
        <v>544493.36120309611</v>
      </c>
      <c r="E483" s="71">
        <f t="shared" si="15"/>
        <v>557561.20187197044</v>
      </c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spans="1:22" ht="12.75" customHeight="1" x14ac:dyDescent="0.2">
      <c r="A484" s="89">
        <v>1900442</v>
      </c>
      <c r="B484" s="93" t="s">
        <v>1017</v>
      </c>
      <c r="C484" s="116">
        <v>779112.45180280402</v>
      </c>
      <c r="D484" s="71">
        <f t="shared" si="14"/>
        <v>798590.26309787401</v>
      </c>
      <c r="E484" s="71">
        <f t="shared" si="15"/>
        <v>817756.42941222305</v>
      </c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spans="1:22" ht="12.75" customHeight="1" x14ac:dyDescent="0.2">
      <c r="A485" s="89">
        <v>1900443</v>
      </c>
      <c r="B485" s="93" t="s">
        <v>1018</v>
      </c>
      <c r="C485" s="116">
        <v>779112.45180280402</v>
      </c>
      <c r="D485" s="71">
        <f t="shared" si="14"/>
        <v>798590.26309787401</v>
      </c>
      <c r="E485" s="71">
        <f t="shared" si="15"/>
        <v>817756.42941222305</v>
      </c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spans="1:22" ht="12.75" customHeight="1" x14ac:dyDescent="0.2">
      <c r="A486" s="89">
        <v>1900444</v>
      </c>
      <c r="B486" s="93" t="s">
        <v>1019</v>
      </c>
      <c r="C486" s="116">
        <v>283313.61883738334</v>
      </c>
      <c r="D486" s="71">
        <f t="shared" si="14"/>
        <v>290396.45930831792</v>
      </c>
      <c r="E486" s="71">
        <f t="shared" si="15"/>
        <v>297365.97433171753</v>
      </c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spans="1:22" ht="12.75" customHeight="1" x14ac:dyDescent="0.2">
      <c r="A487" s="89">
        <v>1900446</v>
      </c>
      <c r="B487" s="93" t="s">
        <v>1020</v>
      </c>
      <c r="C487" s="116">
        <v>509964.51390729001</v>
      </c>
      <c r="D487" s="71">
        <f t="shared" si="14"/>
        <v>522713.62675497221</v>
      </c>
      <c r="E487" s="71">
        <f t="shared" si="15"/>
        <v>535258.75379709154</v>
      </c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spans="1:22" ht="12.75" customHeight="1" x14ac:dyDescent="0.2">
      <c r="A488" s="89">
        <v>1900447</v>
      </c>
      <c r="B488" s="93" t="s">
        <v>1021</v>
      </c>
      <c r="C488" s="116">
        <v>920769.26122149592</v>
      </c>
      <c r="D488" s="71">
        <f t="shared" si="14"/>
        <v>943788.49275203329</v>
      </c>
      <c r="E488" s="71">
        <f t="shared" si="15"/>
        <v>966439.41657808213</v>
      </c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spans="1:22" ht="12.75" customHeight="1" x14ac:dyDescent="0.2">
      <c r="A489" s="89">
        <v>1900448</v>
      </c>
      <c r="B489" s="93" t="s">
        <v>1022</v>
      </c>
      <c r="C489" s="116">
        <v>1133254.4753495334</v>
      </c>
      <c r="D489" s="71">
        <f t="shared" si="14"/>
        <v>1161585.8372332717</v>
      </c>
      <c r="E489" s="71">
        <f t="shared" si="15"/>
        <v>1189463.8973268701</v>
      </c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spans="1:22" ht="12.75" customHeight="1" x14ac:dyDescent="0.2">
      <c r="A490" s="89">
        <v>190101</v>
      </c>
      <c r="B490" s="93" t="s">
        <v>1023</v>
      </c>
      <c r="C490" s="116">
        <v>1332213.9260212756</v>
      </c>
      <c r="D490" s="71">
        <f t="shared" si="14"/>
        <v>1365519.2741718073</v>
      </c>
      <c r="E490" s="71">
        <f t="shared" si="15"/>
        <v>1398291.7367519308</v>
      </c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spans="1:22" ht="12.75" customHeight="1" x14ac:dyDescent="0.2">
      <c r="A491" s="89">
        <v>190102</v>
      </c>
      <c r="B491" s="93" t="s">
        <v>1024</v>
      </c>
      <c r="C491" s="116">
        <v>1650522.5989541106</v>
      </c>
      <c r="D491" s="71">
        <f t="shared" si="14"/>
        <v>1691785.6639279632</v>
      </c>
      <c r="E491" s="71">
        <f t="shared" si="15"/>
        <v>1732388.5198622344</v>
      </c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spans="1:22" ht="12.75" customHeight="1" x14ac:dyDescent="0.2">
      <c r="A492" s="89">
        <v>190103</v>
      </c>
      <c r="B492" s="93" t="s">
        <v>1025</v>
      </c>
      <c r="C492" s="116">
        <v>1501352.1187844046</v>
      </c>
      <c r="D492" s="71">
        <f t="shared" si="14"/>
        <v>1538885.9217540147</v>
      </c>
      <c r="E492" s="71">
        <f t="shared" si="15"/>
        <v>1575819.1838761112</v>
      </c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spans="1:22" ht="12.75" customHeight="1" x14ac:dyDescent="0.2">
      <c r="A493" s="89">
        <v>190104</v>
      </c>
      <c r="B493" s="93" t="s">
        <v>1026</v>
      </c>
      <c r="C493" s="116">
        <v>1389767.8912983597</v>
      </c>
      <c r="D493" s="71">
        <f t="shared" si="14"/>
        <v>1424512.0885808186</v>
      </c>
      <c r="E493" s="71">
        <f t="shared" si="15"/>
        <v>1458700.3787067584</v>
      </c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spans="1:22" ht="12.75" customHeight="1" x14ac:dyDescent="0.2">
      <c r="A494" s="89">
        <v>190105</v>
      </c>
      <c r="B494" s="93" t="s">
        <v>1027</v>
      </c>
      <c r="C494" s="116">
        <v>650649.90045720921</v>
      </c>
      <c r="D494" s="71">
        <f t="shared" si="14"/>
        <v>666916.14796863939</v>
      </c>
      <c r="E494" s="71">
        <f t="shared" si="15"/>
        <v>682922.13551988674</v>
      </c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spans="1:22" ht="12.75" customHeight="1" x14ac:dyDescent="0.2">
      <c r="A495" s="89">
        <v>190106</v>
      </c>
      <c r="B495" s="93" t="s">
        <v>1028</v>
      </c>
      <c r="C495" s="116">
        <v>561382.52094333537</v>
      </c>
      <c r="D495" s="71">
        <f t="shared" si="14"/>
        <v>575417.08396691876</v>
      </c>
      <c r="E495" s="71">
        <f t="shared" si="15"/>
        <v>589227.09398212482</v>
      </c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spans="1:22" ht="12.75" customHeight="1" x14ac:dyDescent="0.2">
      <c r="A496" s="89">
        <v>190107</v>
      </c>
      <c r="B496" s="93" t="s">
        <v>1029</v>
      </c>
      <c r="C496" s="116">
        <v>541414.82072472456</v>
      </c>
      <c r="D496" s="71">
        <f t="shared" si="14"/>
        <v>554950.19124284259</v>
      </c>
      <c r="E496" s="71">
        <f t="shared" si="15"/>
        <v>568268.99583267083</v>
      </c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spans="1:22" ht="12.75" customHeight="1" x14ac:dyDescent="0.2">
      <c r="A497" s="89">
        <v>190108</v>
      </c>
      <c r="B497" s="93" t="s">
        <v>1030</v>
      </c>
      <c r="C497" s="116">
        <v>684712.45007274731</v>
      </c>
      <c r="D497" s="71">
        <f t="shared" si="14"/>
        <v>701830.26132456597</v>
      </c>
      <c r="E497" s="71">
        <f t="shared" si="15"/>
        <v>718674.18759635556</v>
      </c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spans="1:22" ht="12.75" customHeight="1" x14ac:dyDescent="0.2">
      <c r="A498" s="89">
        <v>1990356</v>
      </c>
      <c r="B498" s="93" t="s">
        <v>1031</v>
      </c>
      <c r="C498" s="116">
        <v>290396.45930831792</v>
      </c>
      <c r="D498" s="71">
        <f t="shared" si="14"/>
        <v>297656.37079102587</v>
      </c>
      <c r="E498" s="71">
        <f t="shared" si="15"/>
        <v>304800.12369001051</v>
      </c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spans="1:22" ht="12.75" customHeight="1" x14ac:dyDescent="0.2">
      <c r="A499" s="89">
        <v>1990357</v>
      </c>
      <c r="B499" s="93" t="s">
        <v>1032</v>
      </c>
      <c r="C499" s="116">
        <v>290396.45930831792</v>
      </c>
      <c r="D499" s="71">
        <f t="shared" si="14"/>
        <v>297656.37079102587</v>
      </c>
      <c r="E499" s="71">
        <f t="shared" si="15"/>
        <v>304800.12369001051</v>
      </c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spans="1:22" ht="12.75" customHeight="1" x14ac:dyDescent="0.2">
      <c r="A500" s="89">
        <v>1990358</v>
      </c>
      <c r="B500" s="93" t="s">
        <v>1033</v>
      </c>
      <c r="C500" s="116">
        <v>518897.30731514707</v>
      </c>
      <c r="D500" s="71">
        <f t="shared" si="14"/>
        <v>531869.7399980257</v>
      </c>
      <c r="E500" s="71">
        <f t="shared" si="15"/>
        <v>544634.61375797831</v>
      </c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spans="1:22" ht="12.75" customHeight="1" x14ac:dyDescent="0.2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spans="1:22" ht="12.75" customHeight="1" x14ac:dyDescent="0.25">
      <c r="A502" s="65"/>
      <c r="B502" s="113" t="s">
        <v>1136</v>
      </c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spans="1:22" ht="12.75" customHeight="1" x14ac:dyDescent="0.2">
      <c r="A503" s="65"/>
      <c r="B503" s="11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spans="1:22" ht="12.75" customHeight="1" x14ac:dyDescent="0.25">
      <c r="A504" s="65"/>
      <c r="B504" s="115" t="s">
        <v>1137</v>
      </c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spans="1:22" ht="12.75" customHeight="1" x14ac:dyDescent="0.2">
      <c r="A505" s="65"/>
      <c r="B505" s="114" t="s">
        <v>1138</v>
      </c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spans="1:22" ht="12.75" customHeight="1" x14ac:dyDescent="0.2">
      <c r="A506" s="65"/>
      <c r="B506" s="114" t="s">
        <v>1139</v>
      </c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spans="1:22" ht="12.75" customHeight="1" x14ac:dyDescent="0.25">
      <c r="A507" s="65"/>
      <c r="B507" s="115" t="s">
        <v>1140</v>
      </c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spans="1:22" ht="12.75" customHeight="1" x14ac:dyDescent="0.2">
      <c r="A508" s="65"/>
      <c r="B508" s="114" t="s">
        <v>1141</v>
      </c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spans="1:22" ht="12.75" customHeight="1" x14ac:dyDescent="0.2">
      <c r="A509" s="65"/>
      <c r="B509" s="114" t="s">
        <v>1142</v>
      </c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spans="1:22" ht="12.75" customHeight="1" x14ac:dyDescent="0.2">
      <c r="A510" s="65"/>
      <c r="B510" s="114" t="s">
        <v>1143</v>
      </c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spans="1:22" ht="12.75" customHeight="1" x14ac:dyDescent="0.25">
      <c r="A511" s="65"/>
      <c r="B511" s="115" t="s">
        <v>1144</v>
      </c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spans="1:22" ht="12.75" customHeight="1" x14ac:dyDescent="0.2">
      <c r="A512" s="65"/>
      <c r="B512" s="114" t="s">
        <v>1145</v>
      </c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spans="1:22" ht="12.75" customHeight="1" x14ac:dyDescent="0.2">
      <c r="A513" s="65"/>
      <c r="B513" s="114" t="s">
        <v>1146</v>
      </c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spans="1:22" ht="12.75" customHeight="1" x14ac:dyDescent="0.25">
      <c r="A514" s="65"/>
      <c r="B514" s="115" t="s">
        <v>1147</v>
      </c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spans="1:22" ht="12.75" customHeight="1" x14ac:dyDescent="0.2">
      <c r="A515" s="65"/>
      <c r="B515" s="114" t="s">
        <v>1148</v>
      </c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spans="1:22" ht="12.75" customHeight="1" x14ac:dyDescent="0.2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spans="1:22" ht="12.75" customHeight="1" x14ac:dyDescent="0.2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spans="1:22" ht="12.75" customHeight="1" x14ac:dyDescent="0.2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spans="1:22" ht="12.75" customHeight="1" x14ac:dyDescent="0.2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spans="1:22" ht="12.75" customHeight="1" x14ac:dyDescent="0.2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spans="1:22" ht="12.75" customHeight="1" x14ac:dyDescent="0.2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spans="1:22" ht="12.75" customHeight="1" x14ac:dyDescent="0.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spans="1:22" ht="12.75" customHeight="1" x14ac:dyDescent="0.2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spans="1:22" ht="12.75" customHeight="1" x14ac:dyDescent="0.2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spans="1:22" ht="12.75" customHeight="1" x14ac:dyDescent="0.2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spans="1:22" ht="12.75" customHeight="1" x14ac:dyDescent="0.2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spans="1:22" ht="12.75" customHeight="1" x14ac:dyDescent="0.2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spans="1:22" ht="12.75" customHeight="1" x14ac:dyDescent="0.2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spans="1:22" ht="12.75" customHeight="1" x14ac:dyDescent="0.2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spans="1:22" ht="12.75" customHeight="1" x14ac:dyDescent="0.2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spans="1:22" ht="12.75" customHeight="1" x14ac:dyDescent="0.2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spans="1:22" ht="12.75" customHeight="1" x14ac:dyDescent="0.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spans="1:22" ht="12.75" customHeight="1" x14ac:dyDescent="0.2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spans="1:22" ht="12.75" customHeight="1" x14ac:dyDescent="0.2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spans="1:22" ht="12.75" customHeight="1" x14ac:dyDescent="0.2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spans="1:22" ht="12.75" customHeight="1" x14ac:dyDescent="0.2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spans="1:22" ht="12.75" customHeight="1" x14ac:dyDescent="0.2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spans="1:22" ht="12.75" customHeight="1" x14ac:dyDescent="0.2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spans="1:22" ht="12.75" customHeight="1" x14ac:dyDescent="0.2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spans="1:22" ht="12.75" customHeight="1" x14ac:dyDescent="0.2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spans="1:22" ht="12.75" customHeight="1" x14ac:dyDescent="0.2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spans="1:22" ht="12.75" customHeight="1" x14ac:dyDescent="0.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spans="1:22" ht="12.75" customHeight="1" x14ac:dyDescent="0.2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spans="1:22" ht="12.75" customHeight="1" x14ac:dyDescent="0.2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spans="1:22" ht="12.75" customHeight="1" x14ac:dyDescent="0.2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spans="1:22" ht="12.75" customHeight="1" x14ac:dyDescent="0.2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spans="1:22" ht="12.75" customHeight="1" x14ac:dyDescent="0.2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spans="1:22" ht="12.75" customHeight="1" x14ac:dyDescent="0.2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spans="1:22" ht="12.75" customHeight="1" x14ac:dyDescent="0.2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spans="1:22" ht="12.75" customHeight="1" x14ac:dyDescent="0.2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spans="1:22" ht="12.75" customHeight="1" x14ac:dyDescent="0.2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spans="1:22" ht="12.75" customHeight="1" x14ac:dyDescent="0.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spans="1:22" ht="12.75" customHeight="1" x14ac:dyDescent="0.2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spans="1:22" ht="12.75" customHeight="1" x14ac:dyDescent="0.2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spans="1:22" ht="12.75" customHeight="1" x14ac:dyDescent="0.2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spans="1:22" ht="12.75" customHeight="1" x14ac:dyDescent="0.2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spans="1:22" ht="12.75" customHeight="1" x14ac:dyDescent="0.2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spans="1:22" ht="12.75" customHeight="1" x14ac:dyDescent="0.2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spans="1:22" ht="12.75" customHeight="1" x14ac:dyDescent="0.2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spans="1:22" ht="12.75" customHeight="1" x14ac:dyDescent="0.2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spans="1:22" ht="12.75" customHeight="1" x14ac:dyDescent="0.2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spans="1:22" ht="12.75" customHeight="1" x14ac:dyDescent="0.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spans="1:22" ht="12.75" customHeight="1" x14ac:dyDescent="0.2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spans="1:22" ht="12.75" customHeight="1" x14ac:dyDescent="0.2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spans="1:22" ht="12.75" customHeight="1" x14ac:dyDescent="0.2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spans="1:22" ht="12.75" customHeight="1" x14ac:dyDescent="0.2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spans="1:22" ht="12.75" customHeight="1" x14ac:dyDescent="0.2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spans="1:22" ht="12.75" customHeight="1" x14ac:dyDescent="0.2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spans="1:22" ht="12.75" customHeight="1" x14ac:dyDescent="0.2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spans="1:22" ht="12.75" customHeight="1" x14ac:dyDescent="0.2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spans="1:22" ht="12.75" customHeight="1" x14ac:dyDescent="0.2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spans="1:22" ht="12.75" customHeight="1" x14ac:dyDescent="0.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spans="1:22" ht="12.75" customHeight="1" x14ac:dyDescent="0.2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spans="1:22" ht="12.75" customHeight="1" x14ac:dyDescent="0.2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spans="1:22" ht="12.75" customHeight="1" x14ac:dyDescent="0.2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spans="1:22" ht="12.75" customHeight="1" x14ac:dyDescent="0.2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spans="1:22" ht="12.75" customHeight="1" x14ac:dyDescent="0.2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spans="1:22" ht="12.75" customHeight="1" x14ac:dyDescent="0.2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spans="1:22" ht="12.75" customHeight="1" x14ac:dyDescent="0.2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spans="1:22" ht="12.75" customHeight="1" x14ac:dyDescent="0.2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spans="1:22" ht="12.75" customHeight="1" x14ac:dyDescent="0.2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spans="1:22" ht="12.75" customHeight="1" x14ac:dyDescent="0.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spans="1:22" ht="12.75" customHeight="1" x14ac:dyDescent="0.2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spans="1:22" ht="12.75" customHeight="1" x14ac:dyDescent="0.2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spans="1:22" ht="12.75" customHeight="1" x14ac:dyDescent="0.2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spans="1:22" ht="12.75" customHeight="1" x14ac:dyDescent="0.2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spans="1:22" ht="12.75" customHeight="1" x14ac:dyDescent="0.2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spans="1:22" ht="12.75" customHeight="1" x14ac:dyDescent="0.2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spans="1:22" ht="12.75" customHeight="1" x14ac:dyDescent="0.2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spans="1:22" ht="12.75" customHeight="1" x14ac:dyDescent="0.2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spans="1:22" ht="12.75" customHeight="1" x14ac:dyDescent="0.2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spans="1:22" ht="12.75" customHeight="1" x14ac:dyDescent="0.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spans="1:22" ht="12.75" customHeight="1" x14ac:dyDescent="0.2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spans="1:22" ht="12.75" customHeight="1" x14ac:dyDescent="0.2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spans="1:22" ht="12.75" customHeight="1" x14ac:dyDescent="0.2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spans="1:22" ht="12.75" customHeight="1" x14ac:dyDescent="0.2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spans="1:22" ht="12.75" customHeight="1" x14ac:dyDescent="0.2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spans="1:22" ht="12.75" customHeight="1" x14ac:dyDescent="0.2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spans="1:22" ht="12.75" customHeight="1" x14ac:dyDescent="0.2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spans="1:22" ht="12.75" customHeight="1" x14ac:dyDescent="0.2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spans="1:22" ht="12.75" customHeight="1" x14ac:dyDescent="0.2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spans="1:22" ht="12.75" customHeight="1" x14ac:dyDescent="0.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spans="1:22" ht="12.75" customHeight="1" x14ac:dyDescent="0.2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spans="1:22" ht="12.75" customHeight="1" x14ac:dyDescent="0.2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spans="1:22" ht="12.75" customHeight="1" x14ac:dyDescent="0.2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spans="1:22" ht="12.75" customHeight="1" x14ac:dyDescent="0.2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spans="1:22" ht="12.75" customHeight="1" x14ac:dyDescent="0.2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spans="1:22" ht="12.75" customHeight="1" x14ac:dyDescent="0.2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spans="1:22" ht="12.75" customHeight="1" x14ac:dyDescent="0.2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spans="1:22" ht="12.75" customHeight="1" x14ac:dyDescent="0.2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spans="1:22" ht="12.75" customHeight="1" x14ac:dyDescent="0.2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spans="1:22" ht="12.75" customHeight="1" x14ac:dyDescent="0.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spans="1:22" ht="12.75" customHeight="1" x14ac:dyDescent="0.2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spans="1:22" ht="12.75" customHeight="1" x14ac:dyDescent="0.2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spans="1:22" ht="12.75" customHeight="1" x14ac:dyDescent="0.2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spans="1:22" ht="12.75" customHeight="1" x14ac:dyDescent="0.2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spans="1:22" ht="12.75" customHeight="1" x14ac:dyDescent="0.2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spans="1:22" ht="12.75" customHeight="1" x14ac:dyDescent="0.2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spans="1:22" ht="12.75" customHeight="1" x14ac:dyDescent="0.2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spans="1:22" ht="12.75" customHeight="1" x14ac:dyDescent="0.2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spans="1:22" ht="12.75" customHeight="1" x14ac:dyDescent="0.2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spans="1:22" ht="12.75" customHeight="1" x14ac:dyDescent="0.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spans="1:22" ht="12.75" customHeight="1" x14ac:dyDescent="0.2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spans="1:22" ht="12.75" customHeight="1" x14ac:dyDescent="0.2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spans="1:22" ht="12.75" customHeight="1" x14ac:dyDescent="0.2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spans="1:22" ht="12.75" customHeight="1" x14ac:dyDescent="0.2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spans="1:22" ht="12.75" customHeight="1" x14ac:dyDescent="0.2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spans="1:22" ht="12.75" customHeight="1" x14ac:dyDescent="0.2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spans="1:22" ht="12.75" customHeight="1" x14ac:dyDescent="0.2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spans="1:22" ht="12.75" customHeight="1" x14ac:dyDescent="0.2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spans="1:22" ht="12.75" customHeight="1" x14ac:dyDescent="0.2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spans="1:22" ht="12.75" customHeight="1" x14ac:dyDescent="0.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spans="1:22" ht="12.75" customHeight="1" x14ac:dyDescent="0.2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spans="1:22" ht="12.75" customHeight="1" x14ac:dyDescent="0.2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spans="1:22" ht="12.75" customHeight="1" x14ac:dyDescent="0.2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spans="1:22" ht="12.75" customHeight="1" x14ac:dyDescent="0.2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spans="1:22" ht="12.75" customHeight="1" x14ac:dyDescent="0.2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spans="1:22" ht="12.75" customHeight="1" x14ac:dyDescent="0.2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spans="1:22" ht="12.75" customHeight="1" x14ac:dyDescent="0.2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spans="1:22" ht="12.75" customHeight="1" x14ac:dyDescent="0.2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spans="1:22" ht="12.75" customHeight="1" x14ac:dyDescent="0.2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spans="1:22" ht="12.75" customHeight="1" x14ac:dyDescent="0.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spans="1:22" ht="12.75" customHeight="1" x14ac:dyDescent="0.2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spans="1:22" ht="12.75" customHeight="1" x14ac:dyDescent="0.2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spans="1:22" ht="12.75" customHeight="1" x14ac:dyDescent="0.2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spans="1:22" ht="12.75" customHeight="1" x14ac:dyDescent="0.2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spans="1:22" ht="12.75" customHeight="1" x14ac:dyDescent="0.2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spans="1:22" ht="12.75" customHeight="1" x14ac:dyDescent="0.2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spans="1:22" ht="12.75" customHeight="1" x14ac:dyDescent="0.2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spans="1:22" ht="12.75" customHeight="1" x14ac:dyDescent="0.2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spans="1:22" ht="12.75" customHeight="1" x14ac:dyDescent="0.2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spans="1:22" ht="12.75" customHeight="1" x14ac:dyDescent="0.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spans="1:22" ht="12.75" customHeight="1" x14ac:dyDescent="0.2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spans="1:22" ht="12.75" customHeight="1" x14ac:dyDescent="0.2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spans="1:22" ht="12.75" customHeight="1" x14ac:dyDescent="0.2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spans="1:22" ht="12.75" customHeight="1" x14ac:dyDescent="0.2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spans="1:22" ht="12.75" customHeight="1" x14ac:dyDescent="0.2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spans="1:22" ht="12.75" customHeight="1" x14ac:dyDescent="0.2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spans="1:22" ht="12.75" customHeight="1" x14ac:dyDescent="0.2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spans="1:22" ht="12.75" customHeight="1" x14ac:dyDescent="0.2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spans="1:22" ht="12.75" customHeight="1" x14ac:dyDescent="0.2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spans="1:22" ht="12.75" customHeight="1" x14ac:dyDescent="0.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spans="1:22" ht="12.75" customHeight="1" x14ac:dyDescent="0.2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spans="1:22" ht="12.75" customHeight="1" x14ac:dyDescent="0.2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spans="1:22" ht="12.75" customHeight="1" x14ac:dyDescent="0.2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spans="1:22" ht="12.75" customHeight="1" x14ac:dyDescent="0.2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spans="1:22" ht="12.75" customHeight="1" x14ac:dyDescent="0.2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spans="1:22" ht="12.75" customHeight="1" x14ac:dyDescent="0.2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spans="1:22" ht="12.75" customHeight="1" x14ac:dyDescent="0.2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spans="1:22" ht="12.75" customHeight="1" x14ac:dyDescent="0.2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spans="1:22" ht="12.75" customHeight="1" x14ac:dyDescent="0.2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spans="1:22" ht="12.75" customHeight="1" x14ac:dyDescent="0.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spans="1:22" ht="12.75" customHeight="1" x14ac:dyDescent="0.2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spans="1:22" ht="12.75" customHeight="1" x14ac:dyDescent="0.2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spans="1:22" ht="12.75" customHeight="1" x14ac:dyDescent="0.2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spans="1:22" ht="12.75" customHeight="1" x14ac:dyDescent="0.2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spans="1:22" ht="12.75" customHeight="1" x14ac:dyDescent="0.2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spans="1:22" ht="12.75" customHeight="1" x14ac:dyDescent="0.2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spans="1:22" ht="12.75" customHeight="1" x14ac:dyDescent="0.2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spans="1:22" ht="12.75" customHeight="1" x14ac:dyDescent="0.2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spans="1:22" ht="12.75" customHeight="1" x14ac:dyDescent="0.2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spans="1:22" ht="12.75" customHeight="1" x14ac:dyDescent="0.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spans="1:22" ht="12.75" customHeight="1" x14ac:dyDescent="0.2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spans="1:22" ht="12.75" customHeight="1" x14ac:dyDescent="0.2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spans="1:22" ht="12.75" customHeight="1" x14ac:dyDescent="0.2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spans="1:22" ht="12.75" customHeight="1" x14ac:dyDescent="0.2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spans="1:22" ht="12.75" customHeight="1" x14ac:dyDescent="0.2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spans="1:22" ht="12.75" customHeight="1" x14ac:dyDescent="0.2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spans="1:22" ht="12.75" customHeight="1" x14ac:dyDescent="0.2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spans="1:22" ht="12.75" customHeight="1" x14ac:dyDescent="0.2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spans="1:22" ht="12.75" customHeight="1" x14ac:dyDescent="0.2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spans="1:22" ht="12.75" customHeight="1" x14ac:dyDescent="0.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spans="1:22" ht="12.75" customHeight="1" x14ac:dyDescent="0.2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spans="1:22" ht="12.75" customHeight="1" x14ac:dyDescent="0.2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spans="1:22" ht="12.75" customHeight="1" x14ac:dyDescent="0.2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spans="1:22" ht="12.75" customHeight="1" x14ac:dyDescent="0.2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spans="1:22" ht="12.75" customHeight="1" x14ac:dyDescent="0.2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spans="1:22" ht="12.75" customHeight="1" x14ac:dyDescent="0.2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spans="1:22" ht="12.75" customHeight="1" x14ac:dyDescent="0.2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spans="1:22" ht="12.75" customHeight="1" x14ac:dyDescent="0.2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spans="1:22" ht="12.75" customHeight="1" x14ac:dyDescent="0.2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spans="1:22" ht="12.75" customHeight="1" x14ac:dyDescent="0.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spans="1:22" ht="12.75" customHeight="1" x14ac:dyDescent="0.2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spans="1:22" ht="12.75" customHeight="1" x14ac:dyDescent="0.2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spans="1:22" ht="12.75" customHeight="1" x14ac:dyDescent="0.2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spans="1:22" ht="12.75" customHeight="1" x14ac:dyDescent="0.2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spans="1:22" ht="12.75" customHeight="1" x14ac:dyDescent="0.2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spans="1:22" ht="12.75" customHeight="1" x14ac:dyDescent="0.2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spans="1:22" ht="12.75" customHeight="1" x14ac:dyDescent="0.2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spans="1:22" ht="12.75" customHeight="1" x14ac:dyDescent="0.2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spans="1:22" ht="12.75" customHeight="1" x14ac:dyDescent="0.2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spans="1:22" ht="12.75" customHeight="1" x14ac:dyDescent="0.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spans="1:22" ht="12.75" customHeight="1" x14ac:dyDescent="0.2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spans="1:22" ht="12.75" customHeight="1" x14ac:dyDescent="0.2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spans="1:22" ht="12.75" customHeight="1" x14ac:dyDescent="0.2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spans="1:22" ht="12.75" customHeight="1" x14ac:dyDescent="0.2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spans="1:22" ht="12.75" customHeight="1" x14ac:dyDescent="0.2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spans="1:22" ht="12.75" customHeight="1" x14ac:dyDescent="0.2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spans="1:22" ht="12.75" customHeight="1" x14ac:dyDescent="0.2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spans="1:22" ht="12.75" customHeight="1" x14ac:dyDescent="0.2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spans="1:22" ht="12.75" customHeight="1" x14ac:dyDescent="0.2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spans="1:22" ht="12.75" customHeight="1" x14ac:dyDescent="0.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spans="1:22" ht="12.75" customHeight="1" x14ac:dyDescent="0.2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spans="1:22" ht="12.75" customHeight="1" x14ac:dyDescent="0.2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spans="1:22" ht="12.75" customHeight="1" x14ac:dyDescent="0.2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spans="1:22" ht="12.75" customHeight="1" x14ac:dyDescent="0.2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spans="1:22" ht="12.75" customHeight="1" x14ac:dyDescent="0.2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spans="1:22" ht="12.75" customHeight="1" x14ac:dyDescent="0.2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spans="1:22" ht="12.75" customHeight="1" x14ac:dyDescent="0.2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spans="1:22" ht="12.75" customHeight="1" x14ac:dyDescent="0.2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spans="1:22" ht="12.75" customHeight="1" x14ac:dyDescent="0.2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spans="1:22" ht="12.75" customHeight="1" x14ac:dyDescent="0.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spans="1:22" ht="12.75" customHeight="1" x14ac:dyDescent="0.2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spans="1:22" ht="12.75" customHeight="1" x14ac:dyDescent="0.2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spans="1:22" ht="12.75" customHeight="1" x14ac:dyDescent="0.2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spans="1:22" ht="12.75" customHeight="1" x14ac:dyDescent="0.2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spans="1:22" ht="12.75" customHeight="1" x14ac:dyDescent="0.2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spans="1:22" ht="12.75" customHeight="1" x14ac:dyDescent="0.2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spans="1:22" ht="12.75" customHeight="1" x14ac:dyDescent="0.2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spans="1:22" ht="12.75" customHeight="1" x14ac:dyDescent="0.2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spans="1:22" ht="12.75" customHeight="1" x14ac:dyDescent="0.2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spans="1:22" ht="12.75" customHeight="1" x14ac:dyDescent="0.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spans="1:22" ht="12.75" customHeight="1" x14ac:dyDescent="0.2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spans="1:22" ht="12.75" customHeight="1" x14ac:dyDescent="0.2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spans="1:22" ht="12.75" customHeight="1" x14ac:dyDescent="0.2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spans="1:22" ht="12.75" customHeight="1" x14ac:dyDescent="0.2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spans="1:22" ht="12.75" customHeight="1" x14ac:dyDescent="0.2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spans="1:22" ht="12.75" customHeight="1" x14ac:dyDescent="0.2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spans="1:22" ht="12.75" customHeight="1" x14ac:dyDescent="0.2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spans="1:22" ht="12.75" customHeight="1" x14ac:dyDescent="0.2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spans="1:22" ht="12.75" customHeight="1" x14ac:dyDescent="0.2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spans="1:22" ht="12.75" customHeight="1" x14ac:dyDescent="0.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spans="1:22" ht="12.75" customHeight="1" x14ac:dyDescent="0.2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spans="1:22" ht="12.75" customHeight="1" x14ac:dyDescent="0.2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spans="1:22" ht="12.75" customHeight="1" x14ac:dyDescent="0.2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spans="1:22" ht="12.75" customHeight="1" x14ac:dyDescent="0.2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spans="1:22" ht="12.75" customHeight="1" x14ac:dyDescent="0.2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spans="1:22" ht="12.75" customHeight="1" x14ac:dyDescent="0.2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spans="1:22" ht="12.75" customHeight="1" x14ac:dyDescent="0.2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spans="1:22" ht="12.75" customHeight="1" x14ac:dyDescent="0.2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spans="1:22" ht="12.75" customHeight="1" x14ac:dyDescent="0.2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spans="1:22" ht="12.75" customHeight="1" x14ac:dyDescent="0.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spans="1:22" ht="12.75" customHeight="1" x14ac:dyDescent="0.2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spans="1:22" ht="12.75" customHeight="1" x14ac:dyDescent="0.2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spans="1:22" ht="12.75" customHeight="1" x14ac:dyDescent="0.2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spans="1:22" ht="12.75" customHeight="1" x14ac:dyDescent="0.2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spans="1:22" ht="12.75" customHeight="1" x14ac:dyDescent="0.2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spans="1:22" ht="12.75" customHeight="1" x14ac:dyDescent="0.2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spans="1:22" ht="12.75" customHeight="1" x14ac:dyDescent="0.2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spans="1:22" ht="12.75" customHeight="1" x14ac:dyDescent="0.2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spans="1:22" ht="12.75" customHeight="1" x14ac:dyDescent="0.2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spans="1:22" ht="12.75" customHeight="1" x14ac:dyDescent="0.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spans="1:22" ht="12.75" customHeight="1" x14ac:dyDescent="0.2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spans="1:22" ht="12.75" customHeight="1" x14ac:dyDescent="0.2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spans="1:22" ht="12.75" customHeight="1" x14ac:dyDescent="0.2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spans="1:22" ht="12.75" customHeight="1" x14ac:dyDescent="0.2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spans="1:22" ht="12.75" customHeight="1" x14ac:dyDescent="0.2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spans="1:22" ht="12.75" customHeight="1" x14ac:dyDescent="0.2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spans="1:22" ht="12.75" customHeight="1" x14ac:dyDescent="0.2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spans="1:22" ht="12.75" customHeight="1" x14ac:dyDescent="0.2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spans="1:22" ht="12.75" customHeight="1" x14ac:dyDescent="0.2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spans="1:22" ht="12.75" customHeight="1" x14ac:dyDescent="0.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spans="1:22" ht="12.75" customHeight="1" x14ac:dyDescent="0.2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spans="1:22" ht="12.75" customHeight="1" x14ac:dyDescent="0.2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spans="1:22" ht="12.75" customHeight="1" x14ac:dyDescent="0.2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spans="1:22" ht="12.75" customHeight="1" x14ac:dyDescent="0.2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spans="1:22" ht="12.75" customHeight="1" x14ac:dyDescent="0.2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spans="1:22" ht="12.75" customHeight="1" x14ac:dyDescent="0.2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spans="1:22" ht="12.75" customHeight="1" x14ac:dyDescent="0.2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spans="1:22" ht="12.75" customHeight="1" x14ac:dyDescent="0.2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spans="1:22" ht="12.75" customHeight="1" x14ac:dyDescent="0.2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spans="1:22" ht="12.75" customHeight="1" x14ac:dyDescent="0.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spans="1:22" ht="12.75" customHeight="1" x14ac:dyDescent="0.2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spans="1:22" ht="12.75" customHeight="1" x14ac:dyDescent="0.2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spans="1:22" ht="12.75" customHeight="1" x14ac:dyDescent="0.2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spans="1:22" ht="12.75" customHeight="1" x14ac:dyDescent="0.2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spans="1:22" ht="12.75" customHeight="1" x14ac:dyDescent="0.2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spans="1:22" ht="12.75" customHeight="1" x14ac:dyDescent="0.2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spans="1:22" ht="12.75" customHeight="1" x14ac:dyDescent="0.2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spans="1:22" ht="12.75" customHeight="1" x14ac:dyDescent="0.2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spans="1:22" ht="12.75" customHeight="1" x14ac:dyDescent="0.2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spans="1:22" ht="12.75" customHeight="1" x14ac:dyDescent="0.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spans="1:22" ht="12.75" customHeight="1" x14ac:dyDescent="0.2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spans="1:22" ht="12.75" customHeight="1" x14ac:dyDescent="0.2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spans="1:22" ht="12.75" customHeight="1" x14ac:dyDescent="0.2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spans="1:22" ht="12.75" customHeight="1" x14ac:dyDescent="0.2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spans="1:22" ht="12.75" customHeight="1" x14ac:dyDescent="0.2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spans="1:22" ht="12.75" customHeight="1" x14ac:dyDescent="0.2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spans="1:22" ht="12.75" customHeight="1" x14ac:dyDescent="0.2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spans="1:22" ht="12.75" customHeight="1" x14ac:dyDescent="0.2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spans="1:22" ht="12.75" customHeight="1" x14ac:dyDescent="0.2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spans="1:22" ht="12.75" customHeight="1" x14ac:dyDescent="0.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spans="1:22" ht="12.75" customHeight="1" x14ac:dyDescent="0.2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spans="1:22" ht="12.75" customHeight="1" x14ac:dyDescent="0.2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spans="1:22" ht="12.75" customHeight="1" x14ac:dyDescent="0.2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spans="1:22" ht="12.75" customHeight="1" x14ac:dyDescent="0.2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spans="1:22" ht="12.75" customHeight="1" x14ac:dyDescent="0.2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spans="1:22" ht="12.75" customHeight="1" x14ac:dyDescent="0.2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spans="1:22" ht="12.75" customHeight="1" x14ac:dyDescent="0.2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spans="1:22" ht="12.75" customHeight="1" x14ac:dyDescent="0.2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spans="1:22" ht="12.75" customHeight="1" x14ac:dyDescent="0.2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spans="1:22" ht="12.75" customHeight="1" x14ac:dyDescent="0.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spans="1:22" ht="12.75" customHeight="1" x14ac:dyDescent="0.2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spans="1:22" ht="12.75" customHeight="1" x14ac:dyDescent="0.2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spans="1:22" ht="12.75" customHeight="1" x14ac:dyDescent="0.2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spans="1:22" ht="12.75" customHeight="1" x14ac:dyDescent="0.2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spans="1:22" ht="12.75" customHeight="1" x14ac:dyDescent="0.2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spans="1:22" ht="12.75" customHeight="1" x14ac:dyDescent="0.2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spans="1:22" ht="12.75" customHeight="1" x14ac:dyDescent="0.2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spans="1:22" ht="12.75" customHeight="1" x14ac:dyDescent="0.2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spans="1:22" ht="12.75" customHeight="1" x14ac:dyDescent="0.2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spans="1:22" ht="12.75" customHeight="1" x14ac:dyDescent="0.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spans="1:22" ht="12.75" customHeight="1" x14ac:dyDescent="0.2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spans="1:22" ht="12.75" customHeight="1" x14ac:dyDescent="0.2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spans="1:22" ht="12.75" customHeight="1" x14ac:dyDescent="0.2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spans="1:22" ht="12.75" customHeight="1" x14ac:dyDescent="0.2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spans="1:22" ht="12.75" customHeight="1" x14ac:dyDescent="0.2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spans="1:22" ht="12.75" customHeight="1" x14ac:dyDescent="0.2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spans="1:22" ht="12.75" customHeight="1" x14ac:dyDescent="0.2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spans="1:22" ht="12.75" customHeight="1" x14ac:dyDescent="0.2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</sheetData>
  <conditionalFormatting sqref="B26">
    <cfRule type="notContainsBlanks" dxfId="0" priority="1">
      <formula>LEN(TRIM(B26))&gt;0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0"/>
  <sheetViews>
    <sheetView showGridLines="0" workbookViewId="0">
      <selection activeCell="H10" sqref="H10"/>
    </sheetView>
  </sheetViews>
  <sheetFormatPr baseColWidth="10" defaultColWidth="12.7109375" defaultRowHeight="15" customHeight="1" x14ac:dyDescent="0.2"/>
  <cols>
    <col min="1" max="1" width="11.42578125" customWidth="1"/>
    <col min="2" max="2" width="34.140625" customWidth="1"/>
    <col min="3" max="3" width="74.7109375" customWidth="1"/>
    <col min="4" max="5" width="13" hidden="1" customWidth="1"/>
    <col min="6" max="6" width="13" bestFit="1" customWidth="1"/>
    <col min="7" max="22" width="11.42578125" customWidth="1"/>
  </cols>
  <sheetData>
    <row r="1" spans="1:22" ht="12.75" customHeight="1" x14ac:dyDescent="0.2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2" ht="31.5" x14ac:dyDescent="0.2">
      <c r="A2" s="95"/>
      <c r="B2" s="96" t="s">
        <v>1034</v>
      </c>
      <c r="C2" s="97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</row>
    <row r="3" spans="1:22" ht="12.75" customHeight="1" x14ac:dyDescent="0.2">
      <c r="A3" s="95"/>
      <c r="B3" s="95"/>
      <c r="C3" s="95"/>
      <c r="D3" s="95"/>
      <c r="E3" s="124">
        <v>2.5000000000000001E-2</v>
      </c>
      <c r="F3" s="124">
        <v>2.4E-2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</row>
    <row r="4" spans="1:22" ht="12.75" customHeight="1" x14ac:dyDescent="0.2">
      <c r="A4" s="95"/>
      <c r="B4" s="98" t="s">
        <v>3</v>
      </c>
      <c r="C4" s="99" t="s">
        <v>1035</v>
      </c>
      <c r="D4" s="117">
        <v>45992</v>
      </c>
      <c r="E4" s="117">
        <v>46023</v>
      </c>
      <c r="F4" s="117">
        <v>46054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</row>
    <row r="5" spans="1:22" ht="12.75" customHeight="1" x14ac:dyDescent="0.2">
      <c r="A5" s="95"/>
      <c r="B5" s="100" t="s">
        <v>1036</v>
      </c>
      <c r="C5" s="43" t="s">
        <v>1037</v>
      </c>
      <c r="D5" s="118">
        <v>255938.40000000002</v>
      </c>
      <c r="E5" s="71">
        <f>IFERROR(D5*(1+$E$3),D5)</f>
        <v>262336.86</v>
      </c>
      <c r="F5" s="71">
        <f>IFERROR(E5*(1+$F$3),E5)</f>
        <v>268632.94464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</row>
    <row r="6" spans="1:22" ht="12.75" customHeight="1" x14ac:dyDescent="0.2">
      <c r="A6" s="95"/>
      <c r="B6" s="100" t="s">
        <v>1038</v>
      </c>
      <c r="C6" s="43" t="s">
        <v>1039</v>
      </c>
      <c r="D6" s="118">
        <v>319923</v>
      </c>
      <c r="E6" s="71">
        <f t="shared" ref="E6:E12" si="0">IFERROR(D6*(1+$E$3),D6)</f>
        <v>327921.07499999995</v>
      </c>
      <c r="F6" s="71">
        <f t="shared" ref="F6:F12" si="1">IFERROR(E6*(1+$F$3),E6)</f>
        <v>335791.18079999997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</row>
    <row r="7" spans="1:22" ht="12.75" customHeight="1" x14ac:dyDescent="0.2">
      <c r="A7" s="95"/>
      <c r="B7" s="100" t="s">
        <v>1040</v>
      </c>
      <c r="C7" s="43" t="s">
        <v>1041</v>
      </c>
      <c r="D7" s="118">
        <v>426564.00000000006</v>
      </c>
      <c r="E7" s="71">
        <f t="shared" si="0"/>
        <v>437228.10000000003</v>
      </c>
      <c r="F7" s="71">
        <f t="shared" si="1"/>
        <v>447721.57440000004</v>
      </c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2.75" customHeight="1" x14ac:dyDescent="0.2">
      <c r="A8" s="95"/>
      <c r="B8" s="100" t="s">
        <v>1042</v>
      </c>
      <c r="C8" s="43" t="s">
        <v>1043</v>
      </c>
      <c r="D8" s="118">
        <v>437228.10000000009</v>
      </c>
      <c r="E8" s="71">
        <f t="shared" si="0"/>
        <v>448158.80250000005</v>
      </c>
      <c r="F8" s="71">
        <f t="shared" si="1"/>
        <v>458914.61376000004</v>
      </c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</row>
    <row r="9" spans="1:22" ht="93.75" x14ac:dyDescent="0.2">
      <c r="A9" s="95"/>
      <c r="B9" s="100" t="s">
        <v>1044</v>
      </c>
      <c r="C9" s="43" t="s">
        <v>1045</v>
      </c>
      <c r="D9" s="118">
        <v>234610.20000000004</v>
      </c>
      <c r="E9" s="71">
        <f t="shared" si="0"/>
        <v>240475.45500000002</v>
      </c>
      <c r="F9" s="71">
        <f t="shared" si="1"/>
        <v>246246.86592000001</v>
      </c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</row>
    <row r="10" spans="1:22" ht="132" x14ac:dyDescent="0.2">
      <c r="A10" s="95"/>
      <c r="B10" s="100" t="s">
        <v>1046</v>
      </c>
      <c r="C10" s="43" t="s">
        <v>1047</v>
      </c>
      <c r="D10" s="118">
        <v>255938.40000000002</v>
      </c>
      <c r="E10" s="71">
        <f t="shared" si="0"/>
        <v>262336.86</v>
      </c>
      <c r="F10" s="71">
        <f t="shared" si="1"/>
        <v>268632.94464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</row>
    <row r="11" spans="1:22" ht="81" x14ac:dyDescent="0.2">
      <c r="A11" s="95"/>
      <c r="B11" s="100" t="s">
        <v>1048</v>
      </c>
      <c r="C11" s="43" t="s">
        <v>1049</v>
      </c>
      <c r="D11" s="118">
        <v>255938.40000000002</v>
      </c>
      <c r="E11" s="71">
        <f t="shared" si="0"/>
        <v>262336.86</v>
      </c>
      <c r="F11" s="71">
        <f t="shared" si="1"/>
        <v>268632.94464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</row>
    <row r="12" spans="1:22" ht="81" x14ac:dyDescent="0.2">
      <c r="A12" s="95"/>
      <c r="B12" s="100" t="s">
        <v>1050</v>
      </c>
      <c r="C12" s="43" t="s">
        <v>1051</v>
      </c>
      <c r="D12" s="118">
        <v>255938.40000000002</v>
      </c>
      <c r="E12" s="71">
        <f t="shared" si="0"/>
        <v>262336.86</v>
      </c>
      <c r="F12" s="71">
        <f t="shared" si="1"/>
        <v>268632.94464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</row>
    <row r="13" spans="1:22" ht="12.75" x14ac:dyDescent="0.2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</row>
    <row r="14" spans="1:22" ht="12.75" customHeight="1" x14ac:dyDescent="0.2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</row>
    <row r="15" spans="1:22" ht="12.75" customHeight="1" x14ac:dyDescent="0.2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</row>
    <row r="16" spans="1:22" ht="12.75" customHeight="1" x14ac:dyDescent="0.2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</row>
    <row r="17" spans="1:22" ht="12.75" customHeight="1" x14ac:dyDescent="0.2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</row>
    <row r="18" spans="1:22" ht="12.75" customHeight="1" x14ac:dyDescent="0.2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</row>
    <row r="19" spans="1:22" ht="12.75" customHeight="1" x14ac:dyDescent="0.2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</row>
    <row r="20" spans="1:22" ht="12.75" customHeight="1" x14ac:dyDescent="0.2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</row>
    <row r="21" spans="1:22" ht="12.75" customHeight="1" x14ac:dyDescent="0.2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</row>
    <row r="22" spans="1:22" ht="12.75" customHeight="1" x14ac:dyDescent="0.2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</row>
    <row r="23" spans="1:22" ht="12.75" customHeight="1" x14ac:dyDescent="0.2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</row>
    <row r="24" spans="1:22" ht="12.75" customHeight="1" x14ac:dyDescent="0.2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</row>
    <row r="25" spans="1:22" ht="12.75" customHeight="1" x14ac:dyDescent="0.2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</row>
    <row r="26" spans="1:22" ht="12.75" customHeight="1" x14ac:dyDescent="0.2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</row>
    <row r="27" spans="1:22" ht="12.75" customHeight="1" x14ac:dyDescent="0.2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</row>
    <row r="28" spans="1:22" ht="12.75" customHeight="1" x14ac:dyDescent="0.2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</row>
    <row r="29" spans="1:22" ht="12.75" customHeight="1" x14ac:dyDescent="0.2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</row>
    <row r="30" spans="1:22" ht="12.75" customHeight="1" x14ac:dyDescent="0.2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</row>
    <row r="31" spans="1:22" ht="12.7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</row>
    <row r="32" spans="1:22" ht="12.75" customHeight="1" x14ac:dyDescent="0.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</row>
    <row r="33" spans="1:22" ht="12.75" customHeight="1" x14ac:dyDescent="0.2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</row>
    <row r="34" spans="1:22" ht="12.75" customHeight="1" x14ac:dyDescent="0.2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</row>
    <row r="35" spans="1:22" ht="12.75" customHeight="1" x14ac:dyDescent="0.2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</row>
    <row r="36" spans="1:22" ht="12.75" customHeight="1" x14ac:dyDescent="0.2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</row>
    <row r="37" spans="1:22" ht="12.75" customHeight="1" x14ac:dyDescent="0.2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</row>
    <row r="38" spans="1:22" ht="12.75" customHeight="1" x14ac:dyDescent="0.2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</row>
    <row r="39" spans="1:22" ht="12.75" customHeight="1" x14ac:dyDescent="0.2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</row>
    <row r="40" spans="1:22" ht="12.75" customHeight="1" x14ac:dyDescent="0.2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</row>
    <row r="41" spans="1:22" ht="12.75" customHeight="1" x14ac:dyDescent="0.2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</row>
    <row r="42" spans="1:22" ht="12.75" customHeight="1" x14ac:dyDescent="0.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</row>
    <row r="43" spans="1:22" ht="12.75" customHeight="1" x14ac:dyDescent="0.2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</row>
    <row r="44" spans="1:22" ht="12.75" customHeight="1" x14ac:dyDescent="0.2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</row>
    <row r="45" spans="1:22" ht="12.75" customHeight="1" x14ac:dyDescent="0.2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</row>
    <row r="46" spans="1:22" ht="12.75" customHeight="1" x14ac:dyDescent="0.2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</row>
    <row r="47" spans="1:22" ht="12.75" customHeight="1" x14ac:dyDescent="0.2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</row>
    <row r="48" spans="1:22" ht="12.75" customHeight="1" x14ac:dyDescent="0.2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</row>
    <row r="49" spans="1:22" ht="12.75" customHeight="1" x14ac:dyDescent="0.2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</row>
    <row r="50" spans="1:22" ht="12.75" customHeight="1" x14ac:dyDescent="0.2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</row>
    <row r="51" spans="1:22" ht="12.75" customHeight="1" x14ac:dyDescent="0.2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</row>
    <row r="52" spans="1:22" ht="12.75" customHeight="1" x14ac:dyDescent="0.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</row>
    <row r="53" spans="1:22" ht="12.75" customHeight="1" x14ac:dyDescent="0.2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</row>
    <row r="54" spans="1:22" ht="12.75" customHeight="1" x14ac:dyDescent="0.2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</row>
    <row r="55" spans="1:22" ht="12.75" customHeight="1" x14ac:dyDescent="0.2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</row>
    <row r="56" spans="1:22" ht="12.75" customHeight="1" x14ac:dyDescent="0.2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</row>
    <row r="57" spans="1:22" ht="12.75" customHeight="1" x14ac:dyDescent="0.2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</row>
    <row r="58" spans="1:22" ht="12.75" customHeight="1" x14ac:dyDescent="0.2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</row>
    <row r="59" spans="1:22" ht="12.75" customHeight="1" x14ac:dyDescent="0.2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</row>
    <row r="60" spans="1:22" ht="12.75" customHeight="1" x14ac:dyDescent="0.2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</row>
    <row r="61" spans="1:22" ht="12.75" customHeight="1" x14ac:dyDescent="0.2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</row>
    <row r="62" spans="1:22" ht="12.75" customHeight="1" x14ac:dyDescent="0.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</row>
    <row r="63" spans="1:22" ht="12.75" customHeight="1" x14ac:dyDescent="0.2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</row>
    <row r="64" spans="1:22" ht="12.75" customHeight="1" x14ac:dyDescent="0.2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</row>
    <row r="65" spans="1:22" ht="12.75" customHeight="1" x14ac:dyDescent="0.2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</row>
    <row r="66" spans="1:22" ht="12.75" customHeight="1" x14ac:dyDescent="0.2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</row>
    <row r="67" spans="1:22" ht="12.75" customHeight="1" x14ac:dyDescent="0.2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</row>
    <row r="68" spans="1:22" ht="12.75" customHeight="1" x14ac:dyDescent="0.2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</row>
    <row r="69" spans="1:22" ht="12.75" customHeight="1" x14ac:dyDescent="0.2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</row>
    <row r="70" spans="1:22" ht="12.75" customHeight="1" x14ac:dyDescent="0.2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</row>
    <row r="71" spans="1:22" ht="12.75" customHeight="1" x14ac:dyDescent="0.2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</row>
    <row r="72" spans="1:22" ht="12.75" customHeight="1" x14ac:dyDescent="0.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</row>
    <row r="73" spans="1:22" ht="12.75" customHeight="1" x14ac:dyDescent="0.2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</row>
    <row r="74" spans="1:22" ht="12.75" customHeight="1" x14ac:dyDescent="0.2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</row>
    <row r="75" spans="1:22" ht="12.75" customHeight="1" x14ac:dyDescent="0.2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</row>
    <row r="76" spans="1:22" ht="12.75" customHeight="1" x14ac:dyDescent="0.2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</row>
    <row r="77" spans="1:22" ht="12.75" customHeight="1" x14ac:dyDescent="0.2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</row>
    <row r="78" spans="1:22" ht="12.75" customHeight="1" x14ac:dyDescent="0.2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</row>
    <row r="79" spans="1:22" ht="12.75" customHeight="1" x14ac:dyDescent="0.2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</row>
    <row r="80" spans="1:22" ht="12.75" customHeight="1" x14ac:dyDescent="0.2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</row>
    <row r="81" spans="1:22" ht="12.75" customHeight="1" x14ac:dyDescent="0.2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</row>
    <row r="82" spans="1:22" ht="12.75" customHeight="1" x14ac:dyDescent="0.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</row>
    <row r="83" spans="1:22" ht="12.75" customHeight="1" x14ac:dyDescent="0.2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</row>
    <row r="84" spans="1:22" ht="12.75" customHeight="1" x14ac:dyDescent="0.2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</row>
    <row r="85" spans="1:22" ht="12.75" customHeight="1" x14ac:dyDescent="0.2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</row>
    <row r="86" spans="1:22" ht="12.75" customHeight="1" x14ac:dyDescent="0.2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</row>
    <row r="87" spans="1:22" ht="12.75" customHeight="1" x14ac:dyDescent="0.2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</row>
    <row r="88" spans="1:22" ht="12.75" customHeight="1" x14ac:dyDescent="0.2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</row>
    <row r="89" spans="1:22" ht="12.75" customHeight="1" x14ac:dyDescent="0.2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</row>
    <row r="90" spans="1:22" ht="12.75" customHeight="1" x14ac:dyDescent="0.2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</row>
    <row r="91" spans="1:22" ht="12.75" customHeight="1" x14ac:dyDescent="0.2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</row>
    <row r="92" spans="1:22" ht="12.75" customHeight="1" x14ac:dyDescent="0.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</row>
    <row r="93" spans="1:22" ht="12.75" customHeight="1" x14ac:dyDescent="0.2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</row>
    <row r="94" spans="1:22" ht="12.75" customHeight="1" x14ac:dyDescent="0.2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</row>
    <row r="95" spans="1:22" ht="12.75" customHeight="1" x14ac:dyDescent="0.2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</row>
    <row r="96" spans="1:22" ht="12.75" customHeight="1" x14ac:dyDescent="0.2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</row>
    <row r="97" spans="1:22" ht="12.75" customHeight="1" x14ac:dyDescent="0.2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</row>
    <row r="98" spans="1:22" ht="12.75" customHeight="1" x14ac:dyDescent="0.2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</row>
    <row r="99" spans="1:22" ht="12.75" customHeight="1" x14ac:dyDescent="0.2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</row>
    <row r="100" spans="1:22" ht="12.75" customHeight="1" x14ac:dyDescent="0.2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</row>
    <row r="101" spans="1:22" ht="12.75" customHeight="1" x14ac:dyDescent="0.2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</row>
    <row r="102" spans="1:22" ht="12.75" customHeight="1" x14ac:dyDescent="0.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</row>
    <row r="103" spans="1:22" ht="12.75" customHeight="1" x14ac:dyDescent="0.2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</row>
    <row r="104" spans="1:22" ht="12.75" customHeight="1" x14ac:dyDescent="0.2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</row>
    <row r="105" spans="1:22" ht="12.75" customHeight="1" x14ac:dyDescent="0.2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</row>
    <row r="106" spans="1:22" ht="12.75" customHeight="1" x14ac:dyDescent="0.2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</row>
    <row r="107" spans="1:22" ht="12.75" customHeight="1" x14ac:dyDescent="0.2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</row>
    <row r="108" spans="1:22" ht="12.75" customHeight="1" x14ac:dyDescent="0.2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</row>
    <row r="109" spans="1:22" ht="12.75" customHeight="1" x14ac:dyDescent="0.2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</row>
    <row r="110" spans="1:22" ht="12.75" customHeight="1" x14ac:dyDescent="0.2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</row>
    <row r="111" spans="1:22" ht="12.75" customHeight="1" x14ac:dyDescent="0.2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</row>
    <row r="112" spans="1:22" ht="12.75" customHeight="1" x14ac:dyDescent="0.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</row>
    <row r="113" spans="1:22" ht="12.75" customHeight="1" x14ac:dyDescent="0.2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</row>
    <row r="114" spans="1:22" ht="12.75" customHeight="1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</row>
    <row r="115" spans="1:22" ht="12.75" customHeight="1" x14ac:dyDescent="0.2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</row>
    <row r="116" spans="1:22" ht="12.75" customHeight="1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</row>
    <row r="117" spans="1:22" ht="12.75" customHeight="1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</row>
    <row r="118" spans="1:22" ht="12.75" customHeight="1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</row>
    <row r="119" spans="1:22" ht="12.75" customHeight="1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</row>
    <row r="120" spans="1:22" ht="12.75" customHeight="1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</row>
    <row r="121" spans="1:22" ht="12.75" customHeight="1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</row>
    <row r="122" spans="1:22" ht="12.75" customHeight="1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</row>
    <row r="123" spans="1:22" ht="12.75" customHeight="1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</row>
    <row r="124" spans="1:22" ht="12.75" customHeight="1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</row>
    <row r="125" spans="1:22" ht="12.75" customHeight="1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</row>
    <row r="126" spans="1:22" ht="12.75" customHeight="1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</row>
    <row r="127" spans="1:22" ht="12.75" customHeight="1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</row>
    <row r="128" spans="1:22" ht="12.75" customHeight="1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</row>
    <row r="129" spans="1:22" ht="12.75" customHeight="1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</row>
    <row r="130" spans="1:22" ht="12.75" customHeight="1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</row>
    <row r="131" spans="1:22" ht="12.75" customHeight="1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</row>
    <row r="132" spans="1:22" ht="12.75" customHeight="1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</row>
    <row r="133" spans="1:22" ht="12.75" customHeight="1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</row>
    <row r="134" spans="1:22" ht="12.75" customHeight="1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</row>
    <row r="135" spans="1:22" ht="12.75" customHeight="1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</row>
    <row r="136" spans="1:22" ht="12.75" customHeight="1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</row>
    <row r="137" spans="1:22" ht="12.75" customHeight="1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</row>
    <row r="138" spans="1:22" ht="12.75" customHeight="1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</row>
    <row r="139" spans="1:22" ht="12.75" customHeight="1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</row>
    <row r="140" spans="1:22" ht="12.75" customHeight="1" x14ac:dyDescent="0.2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</row>
    <row r="141" spans="1:22" ht="12.75" customHeight="1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</row>
    <row r="142" spans="1:22" ht="12.75" customHeight="1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</row>
    <row r="143" spans="1:22" ht="12.75" customHeight="1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</row>
    <row r="144" spans="1:22" ht="12.75" customHeight="1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</row>
    <row r="145" spans="1:22" ht="12.75" customHeight="1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</row>
    <row r="146" spans="1:22" ht="12.75" customHeight="1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</row>
    <row r="147" spans="1:22" ht="12.75" customHeight="1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</row>
    <row r="148" spans="1:22" ht="12.75" customHeight="1" x14ac:dyDescent="0.2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</row>
    <row r="149" spans="1:22" ht="12.75" customHeight="1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</row>
    <row r="150" spans="1:22" ht="12.75" customHeight="1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</row>
    <row r="151" spans="1:22" ht="12.75" customHeight="1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</row>
    <row r="152" spans="1:22" ht="12.75" customHeight="1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</row>
    <row r="153" spans="1:22" ht="12.75" customHeight="1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</row>
    <row r="154" spans="1:22" ht="12.75" customHeight="1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</row>
    <row r="155" spans="1:22" ht="12.75" customHeight="1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</row>
    <row r="156" spans="1:22" ht="12.75" customHeight="1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</row>
    <row r="157" spans="1:22" ht="12.75" customHeight="1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</row>
    <row r="158" spans="1:22" ht="12.75" customHeight="1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</row>
    <row r="159" spans="1:22" ht="12.75" customHeight="1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</row>
    <row r="160" spans="1:22" ht="12.75" customHeight="1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</row>
    <row r="161" spans="1:22" ht="12.75" customHeight="1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</row>
    <row r="162" spans="1:22" ht="12.75" customHeight="1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</row>
    <row r="163" spans="1:22" ht="12.75" customHeight="1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</row>
    <row r="164" spans="1:22" ht="12.75" customHeight="1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</row>
    <row r="165" spans="1:22" ht="12.75" customHeight="1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</row>
    <row r="166" spans="1:22" ht="12.75" customHeight="1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</row>
    <row r="167" spans="1:22" ht="12.75" customHeight="1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</row>
    <row r="168" spans="1:22" ht="12.75" customHeight="1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</row>
    <row r="169" spans="1:22" ht="12.75" customHeight="1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</row>
    <row r="170" spans="1:22" ht="12.75" customHeight="1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</row>
    <row r="171" spans="1:22" ht="12.75" customHeight="1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</row>
    <row r="172" spans="1:22" ht="12.75" customHeight="1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</row>
    <row r="173" spans="1:22" ht="12.75" customHeight="1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</row>
    <row r="174" spans="1:22" ht="12.75" customHeight="1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</row>
    <row r="175" spans="1:22" ht="12.75" customHeight="1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</row>
    <row r="176" spans="1:22" ht="12.75" customHeight="1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</row>
    <row r="177" spans="1:22" ht="12.75" customHeight="1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</row>
    <row r="178" spans="1:22" ht="12.75" customHeight="1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</row>
    <row r="179" spans="1:22" ht="12.75" customHeight="1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</row>
    <row r="180" spans="1:22" ht="12.75" customHeight="1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</row>
    <row r="181" spans="1:22" ht="12.75" customHeight="1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</row>
    <row r="182" spans="1:22" ht="12.75" customHeight="1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</row>
    <row r="183" spans="1:22" ht="12.75" customHeight="1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</row>
    <row r="184" spans="1:22" ht="12.75" customHeight="1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</row>
    <row r="185" spans="1:22" ht="12.75" customHeight="1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</row>
    <row r="186" spans="1:22" ht="12.75" customHeight="1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</row>
    <row r="187" spans="1:22" ht="12.75" customHeight="1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</row>
    <row r="188" spans="1:22" ht="12.75" customHeight="1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</row>
    <row r="189" spans="1:22" ht="12.75" customHeight="1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</row>
    <row r="190" spans="1:22" ht="12.75" customHeight="1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</row>
    <row r="191" spans="1:22" ht="12.75" customHeight="1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</row>
    <row r="192" spans="1:22" ht="12.75" customHeight="1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</row>
    <row r="193" spans="1:22" ht="12.75" customHeight="1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</row>
    <row r="194" spans="1:22" ht="12.75" customHeight="1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</row>
    <row r="195" spans="1:22" ht="12.75" customHeight="1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</row>
    <row r="196" spans="1:22" ht="12.75" customHeight="1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</row>
    <row r="197" spans="1:22" ht="12.75" customHeight="1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</row>
    <row r="198" spans="1:22" ht="12.75" customHeight="1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</row>
    <row r="199" spans="1:22" ht="12.75" customHeight="1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</row>
    <row r="200" spans="1:22" ht="12.75" customHeight="1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</row>
    <row r="201" spans="1:22" ht="12.75" customHeight="1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</row>
    <row r="202" spans="1:22" ht="12.75" customHeight="1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</row>
    <row r="203" spans="1:22" ht="12.75" customHeight="1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</row>
    <row r="204" spans="1:22" ht="12.75" customHeight="1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</row>
    <row r="205" spans="1:22" ht="12.75" customHeight="1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</row>
    <row r="206" spans="1:22" ht="12.75" customHeight="1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</row>
    <row r="207" spans="1:22" ht="12.75" customHeight="1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</row>
    <row r="208" spans="1:22" ht="12.75" customHeight="1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</row>
    <row r="209" spans="1:22" ht="12.75" customHeight="1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</row>
    <row r="210" spans="1:22" ht="12.75" customHeight="1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</row>
    <row r="211" spans="1:22" ht="12.75" customHeight="1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</row>
    <row r="212" spans="1:22" ht="12.75" customHeight="1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</row>
    <row r="213" spans="1:22" ht="12.75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</row>
    <row r="214" spans="1:22" ht="12.75" customHeight="1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</row>
    <row r="215" spans="1:22" ht="12.75" customHeight="1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</row>
    <row r="216" spans="1:22" ht="12.75" customHeight="1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</row>
    <row r="217" spans="1:22" ht="12.75" customHeight="1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</row>
    <row r="218" spans="1:22" ht="12.75" customHeight="1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</row>
    <row r="219" spans="1:22" ht="12.75" customHeight="1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</row>
    <row r="220" spans="1:22" ht="12.75" customHeight="1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</row>
    <row r="221" spans="1:22" ht="12.75" customHeight="1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</row>
    <row r="222" spans="1:22" ht="12.75" customHeight="1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</row>
    <row r="223" spans="1:22" ht="12.75" customHeight="1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</row>
    <row r="224" spans="1:22" ht="12.75" customHeight="1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</row>
    <row r="225" spans="1:22" ht="12.75" customHeight="1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</row>
    <row r="226" spans="1:22" ht="12.75" customHeight="1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</row>
    <row r="227" spans="1:22" ht="12.75" customHeight="1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</row>
    <row r="228" spans="1:22" ht="12.75" customHeight="1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</row>
    <row r="229" spans="1:22" ht="12.75" customHeight="1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</row>
    <row r="230" spans="1:22" ht="12.75" customHeight="1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</row>
    <row r="231" spans="1:22" ht="12.75" customHeight="1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</row>
    <row r="232" spans="1:22" ht="12.75" customHeight="1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</row>
    <row r="233" spans="1:22" ht="12.75" customHeight="1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</row>
    <row r="234" spans="1:22" ht="12.75" customHeight="1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</row>
    <row r="235" spans="1:22" ht="12.75" customHeight="1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</row>
    <row r="236" spans="1:22" ht="12.75" customHeight="1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</row>
    <row r="237" spans="1:22" ht="12.75" customHeight="1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</row>
    <row r="238" spans="1:22" ht="12.75" customHeight="1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</row>
    <row r="239" spans="1:22" ht="12.75" customHeight="1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</row>
    <row r="240" spans="1:22" ht="12.75" customHeight="1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</row>
    <row r="241" spans="1:22" ht="12.75" customHeight="1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</row>
    <row r="242" spans="1:22" ht="12.75" customHeigh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</row>
    <row r="243" spans="1:22" ht="12.75" customHeight="1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</row>
    <row r="244" spans="1:22" ht="12.75" customHeight="1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</row>
    <row r="245" spans="1:22" ht="12.75" customHeight="1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</row>
    <row r="246" spans="1:22" ht="12.75" customHeight="1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</row>
    <row r="247" spans="1:22" ht="12.75" customHeight="1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</row>
    <row r="248" spans="1:22" ht="12.75" customHeight="1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</row>
    <row r="249" spans="1:22" ht="12.75" customHeight="1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</row>
    <row r="250" spans="1:22" ht="12.75" customHeight="1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</row>
    <row r="251" spans="1:22" ht="12.75" customHeight="1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</row>
    <row r="252" spans="1:22" ht="12.75" customHeight="1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</row>
    <row r="253" spans="1:22" ht="12.75" customHeight="1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</row>
    <row r="254" spans="1:22" ht="12.75" customHeight="1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</row>
    <row r="255" spans="1:22" ht="12.75" customHeight="1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</row>
    <row r="256" spans="1:22" ht="12.7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</row>
    <row r="257" spans="1:22" ht="12.75" customHeight="1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</row>
    <row r="258" spans="1:22" ht="12.75" customHeight="1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</row>
    <row r="259" spans="1:22" ht="12.75" customHeight="1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</row>
    <row r="260" spans="1:22" ht="12.75" customHeight="1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</row>
    <row r="261" spans="1:22" ht="12.75" customHeight="1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</row>
    <row r="262" spans="1:22" ht="12.75" customHeight="1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</row>
    <row r="263" spans="1:22" ht="12.75" customHeight="1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</row>
    <row r="264" spans="1:22" ht="12.75" customHeight="1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</row>
    <row r="265" spans="1:22" ht="12.75" customHeight="1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</row>
    <row r="266" spans="1:22" ht="12.75" customHeight="1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</row>
    <row r="267" spans="1:22" ht="12.75" customHeight="1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</row>
    <row r="268" spans="1:22" ht="12.75" customHeight="1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</row>
    <row r="269" spans="1:22" ht="12.75" customHeight="1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</row>
    <row r="270" spans="1:22" ht="12.75" customHeight="1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</row>
    <row r="271" spans="1:22" ht="12.75" customHeight="1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</row>
    <row r="272" spans="1:22" ht="12.75" customHeight="1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</row>
    <row r="273" spans="1:22" ht="12.75" customHeight="1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</row>
    <row r="274" spans="1:22" ht="12.75" customHeight="1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</row>
    <row r="275" spans="1:22" ht="12.75" customHeight="1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</row>
    <row r="276" spans="1:22" ht="12.75" customHeight="1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</row>
    <row r="277" spans="1:22" ht="12.75" customHeight="1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</row>
    <row r="278" spans="1:22" ht="12.75" customHeight="1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</row>
    <row r="279" spans="1:22" ht="12.75" customHeight="1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</row>
    <row r="280" spans="1:22" ht="12.75" customHeight="1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</row>
    <row r="281" spans="1:22" ht="12.75" customHeight="1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</row>
    <row r="282" spans="1:22" ht="12.75" customHeight="1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</row>
    <row r="283" spans="1:22" ht="12.75" customHeight="1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</row>
    <row r="284" spans="1:22" ht="12.75" customHeight="1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</row>
    <row r="285" spans="1:22" ht="12.75" customHeight="1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</row>
    <row r="286" spans="1:22" ht="12.75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</row>
    <row r="287" spans="1:22" ht="12.75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</row>
    <row r="288" spans="1:22" ht="12.75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</row>
    <row r="289" spans="1:22" ht="12.75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</row>
    <row r="290" spans="1:22" ht="12.75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</row>
    <row r="291" spans="1:22" ht="12.75" customHeight="1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</row>
    <row r="292" spans="1:22" ht="12.75" customHeight="1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</row>
    <row r="293" spans="1:22" ht="12.75" customHeight="1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</row>
    <row r="294" spans="1:22" ht="12.75" customHeight="1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</row>
    <row r="295" spans="1:22" ht="12.75" customHeight="1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</row>
    <row r="296" spans="1:22" ht="12.75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</row>
    <row r="297" spans="1:22" ht="12.75" customHeight="1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</row>
    <row r="298" spans="1:22" ht="12.75" customHeight="1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</row>
    <row r="299" spans="1:22" ht="12.75" customHeight="1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</row>
    <row r="300" spans="1:22" ht="12.75" customHeight="1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</row>
    <row r="301" spans="1:22" ht="12.75" customHeight="1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</row>
    <row r="302" spans="1:22" ht="12.75" customHeight="1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</row>
    <row r="303" spans="1:22" ht="12.75" customHeight="1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</row>
    <row r="304" spans="1:22" ht="12.75" customHeight="1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</row>
    <row r="305" spans="1:22" ht="12.75" customHeight="1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</row>
    <row r="306" spans="1:22" ht="12.75" customHeight="1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</row>
    <row r="307" spans="1:22" ht="12.75" customHeight="1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</row>
    <row r="308" spans="1:22" ht="12.75" customHeight="1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</row>
    <row r="309" spans="1:22" ht="12.75" customHeight="1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</row>
    <row r="310" spans="1:22" ht="12.75" customHeight="1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</row>
    <row r="311" spans="1:22" ht="12.75" customHeight="1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</row>
    <row r="312" spans="1:22" ht="12.75" customHeight="1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</row>
    <row r="313" spans="1:22" ht="12.75" customHeight="1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</row>
    <row r="314" spans="1:22" ht="12.75" customHeight="1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</row>
    <row r="315" spans="1:22" ht="12.75" customHeight="1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</row>
    <row r="316" spans="1:22" ht="12.75" customHeight="1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</row>
    <row r="317" spans="1:22" ht="12.75" customHeight="1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</row>
    <row r="318" spans="1:22" ht="12.75" customHeight="1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</row>
    <row r="319" spans="1:22" ht="12.75" customHeight="1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</row>
    <row r="320" spans="1:22" ht="12.75" customHeight="1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</row>
    <row r="321" spans="1:22" ht="12.75" customHeight="1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</row>
    <row r="322" spans="1:22" ht="12.75" customHeight="1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</row>
    <row r="323" spans="1:22" ht="12.75" customHeight="1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</row>
    <row r="324" spans="1:22" ht="12.75" customHeight="1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</row>
    <row r="325" spans="1:22" ht="12.75" customHeight="1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</row>
    <row r="326" spans="1:22" ht="12.75" customHeight="1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</row>
    <row r="327" spans="1:22" ht="12.75" customHeight="1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</row>
    <row r="328" spans="1:22" ht="12.75" customHeight="1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</row>
    <row r="329" spans="1:22" ht="12.75" customHeight="1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</row>
    <row r="330" spans="1:22" ht="12.75" customHeight="1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</row>
    <row r="331" spans="1:22" ht="12.75" customHeight="1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</row>
    <row r="332" spans="1:22" ht="12.75" customHeight="1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</row>
    <row r="333" spans="1:22" ht="12.75" customHeight="1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</row>
    <row r="334" spans="1:22" ht="12.75" customHeight="1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</row>
    <row r="335" spans="1:22" ht="12.75" customHeight="1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</row>
    <row r="336" spans="1:22" ht="12.75" customHeight="1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</row>
    <row r="337" spans="1:22" ht="12.75" customHeight="1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</row>
    <row r="338" spans="1:22" ht="12.75" customHeight="1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</row>
    <row r="339" spans="1:22" ht="12.75" customHeight="1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</row>
    <row r="340" spans="1:22" ht="12.75" customHeight="1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</row>
    <row r="341" spans="1:22" ht="12.75" customHeight="1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</row>
    <row r="342" spans="1:22" ht="12.75" customHeight="1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</row>
    <row r="343" spans="1:22" ht="12.75" customHeight="1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</row>
    <row r="344" spans="1:22" ht="12.75" customHeight="1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</row>
    <row r="345" spans="1:22" ht="12.75" customHeight="1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</row>
    <row r="346" spans="1:22" ht="12.75" customHeight="1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</row>
    <row r="347" spans="1:22" ht="12.75" customHeight="1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</row>
    <row r="348" spans="1:22" ht="12.75" customHeight="1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</row>
    <row r="349" spans="1:22" ht="12.75" customHeight="1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</row>
    <row r="350" spans="1:22" ht="12.75" customHeight="1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</row>
    <row r="351" spans="1:22" ht="12.75" customHeight="1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</row>
    <row r="352" spans="1:22" ht="12.75" customHeight="1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</row>
    <row r="353" spans="1:22" ht="12.75" customHeight="1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</row>
    <row r="354" spans="1:22" ht="12.75" customHeight="1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</row>
    <row r="355" spans="1:22" ht="12.75" customHeight="1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</row>
    <row r="356" spans="1:22" ht="12.75" customHeight="1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</row>
    <row r="357" spans="1:22" ht="12.75" customHeight="1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</row>
    <row r="358" spans="1:22" ht="12.75" customHeight="1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</row>
    <row r="359" spans="1:22" ht="12.75" customHeight="1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</row>
    <row r="360" spans="1:22" ht="12.75" customHeight="1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</row>
    <row r="361" spans="1:22" ht="12.75" customHeight="1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</row>
    <row r="362" spans="1:22" ht="12.75" customHeight="1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</row>
    <row r="363" spans="1:22" ht="12.75" customHeight="1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</row>
    <row r="364" spans="1:22" ht="12.75" customHeight="1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</row>
    <row r="365" spans="1:22" ht="12.75" customHeight="1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</row>
    <row r="366" spans="1:22" ht="12.75" customHeight="1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</row>
    <row r="367" spans="1:22" ht="12.75" customHeight="1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</row>
    <row r="368" spans="1:22" ht="12.75" customHeight="1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</row>
    <row r="369" spans="1:22" ht="12.75" customHeight="1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</row>
    <row r="370" spans="1:22" ht="12.75" customHeight="1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</row>
    <row r="371" spans="1:22" ht="12.75" customHeight="1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</row>
    <row r="372" spans="1:22" ht="12.75" customHeight="1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</row>
    <row r="373" spans="1:22" ht="12.75" customHeight="1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</row>
    <row r="374" spans="1:22" ht="12.75" customHeight="1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</row>
    <row r="375" spans="1:22" ht="12.75" customHeight="1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</row>
    <row r="376" spans="1:22" ht="12.75" customHeight="1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</row>
    <row r="377" spans="1:22" ht="12.75" customHeight="1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</row>
    <row r="378" spans="1:22" ht="12.75" customHeight="1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</row>
    <row r="379" spans="1:22" ht="12.75" customHeight="1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</row>
    <row r="380" spans="1:22" ht="12.75" customHeight="1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</row>
    <row r="381" spans="1:22" ht="12.75" customHeight="1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</row>
    <row r="382" spans="1:22" ht="12.75" customHeight="1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</row>
    <row r="383" spans="1:22" ht="12.75" customHeight="1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</row>
    <row r="384" spans="1:22" ht="12.75" customHeight="1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</row>
    <row r="385" spans="1:22" ht="12.75" customHeight="1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</row>
    <row r="386" spans="1:22" ht="12.75" customHeight="1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</row>
    <row r="387" spans="1:22" ht="12.75" customHeight="1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</row>
    <row r="388" spans="1:22" ht="12.75" customHeight="1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</row>
    <row r="389" spans="1:22" ht="12.75" customHeight="1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</row>
    <row r="390" spans="1:22" ht="12.75" customHeight="1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</row>
    <row r="391" spans="1:22" ht="12.75" customHeight="1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</row>
    <row r="392" spans="1:22" ht="12.75" customHeight="1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</row>
    <row r="393" spans="1:22" ht="12.75" customHeight="1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</row>
    <row r="394" spans="1:22" ht="12.75" customHeight="1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</row>
    <row r="395" spans="1:22" ht="12.75" customHeight="1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</row>
    <row r="396" spans="1:22" ht="12.75" customHeight="1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</row>
    <row r="397" spans="1:22" ht="12.75" customHeight="1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</row>
    <row r="398" spans="1:22" ht="12.75" customHeight="1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</row>
    <row r="399" spans="1:22" ht="12.75" customHeight="1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</row>
    <row r="400" spans="1:22" ht="12.75" customHeight="1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</row>
    <row r="401" spans="1:22" ht="12.75" customHeight="1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</row>
    <row r="402" spans="1:22" ht="12.75" customHeight="1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</row>
    <row r="403" spans="1:22" ht="12.75" customHeight="1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</row>
    <row r="404" spans="1:22" ht="12.75" customHeight="1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</row>
    <row r="405" spans="1:22" ht="12.75" customHeight="1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</row>
    <row r="406" spans="1:22" ht="12.75" customHeight="1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</row>
    <row r="407" spans="1:22" ht="12.75" customHeight="1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</row>
    <row r="408" spans="1:22" ht="12.75" customHeight="1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</row>
    <row r="409" spans="1:22" ht="12.75" customHeight="1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</row>
    <row r="410" spans="1:22" ht="12.75" customHeight="1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</row>
    <row r="411" spans="1:22" ht="12.75" customHeight="1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</row>
    <row r="412" spans="1:22" ht="12.75" customHeight="1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</row>
    <row r="413" spans="1:22" ht="12.75" customHeight="1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</row>
    <row r="414" spans="1:22" ht="12.75" customHeight="1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</row>
    <row r="415" spans="1:22" ht="12.75" customHeight="1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</row>
    <row r="416" spans="1:22" ht="12.75" customHeight="1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</row>
    <row r="417" spans="1:22" ht="12.75" customHeight="1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</row>
    <row r="418" spans="1:22" ht="12.75" customHeight="1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</row>
    <row r="419" spans="1:22" ht="12.75" customHeight="1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</row>
    <row r="420" spans="1:22" ht="12.75" customHeight="1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</row>
    <row r="421" spans="1:22" ht="12.75" customHeight="1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</row>
    <row r="422" spans="1:22" ht="12.75" customHeight="1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</row>
    <row r="423" spans="1:22" ht="12.75" customHeight="1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</row>
    <row r="424" spans="1:22" ht="12.75" customHeight="1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</row>
    <row r="425" spans="1:22" ht="12.75" customHeight="1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</row>
    <row r="426" spans="1:22" ht="12.75" customHeight="1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</row>
    <row r="427" spans="1:22" ht="12.75" customHeight="1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</row>
    <row r="428" spans="1:22" ht="12.75" customHeight="1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</row>
    <row r="429" spans="1:22" ht="12.75" customHeight="1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</row>
    <row r="430" spans="1:22" ht="12.75" customHeight="1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</row>
    <row r="431" spans="1:22" ht="12.75" customHeight="1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</row>
    <row r="432" spans="1:22" ht="12.75" customHeight="1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</row>
    <row r="433" spans="1:22" ht="12.75" customHeight="1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</row>
    <row r="434" spans="1:22" ht="12.75" customHeight="1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</row>
    <row r="435" spans="1:22" ht="12.75" customHeight="1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</row>
    <row r="436" spans="1:22" ht="12.75" customHeight="1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</row>
    <row r="437" spans="1:22" ht="12.75" customHeight="1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</row>
    <row r="438" spans="1:22" ht="12.75" customHeight="1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</row>
    <row r="439" spans="1:22" ht="12.75" customHeight="1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</row>
    <row r="440" spans="1:22" ht="12.75" customHeight="1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</row>
    <row r="441" spans="1:22" ht="12.75" customHeight="1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</row>
    <row r="442" spans="1:22" ht="12.75" customHeight="1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</row>
    <row r="443" spans="1:22" ht="12.75" customHeight="1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</row>
    <row r="444" spans="1:22" ht="12.75" customHeight="1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</row>
    <row r="445" spans="1:22" ht="12.75" customHeight="1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</row>
    <row r="446" spans="1:22" ht="12.75" customHeight="1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</row>
    <row r="447" spans="1:22" ht="12.75" customHeight="1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</row>
    <row r="448" spans="1:22" ht="12.75" customHeight="1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</row>
    <row r="449" spans="1:22" ht="12.75" customHeight="1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</row>
    <row r="450" spans="1:22" ht="12.75" customHeight="1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</row>
    <row r="451" spans="1:22" ht="12.75" customHeight="1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</row>
    <row r="452" spans="1:22" ht="12.75" customHeight="1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</row>
    <row r="453" spans="1:22" ht="12.75" customHeight="1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</row>
    <row r="454" spans="1:22" ht="12.75" customHeight="1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</row>
    <row r="455" spans="1:22" ht="12.75" customHeight="1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</row>
    <row r="456" spans="1:22" ht="12.75" customHeight="1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</row>
    <row r="457" spans="1:22" ht="12.75" customHeight="1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</row>
    <row r="458" spans="1:22" ht="12.75" customHeight="1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</row>
    <row r="459" spans="1:22" ht="12.75" customHeight="1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</row>
    <row r="460" spans="1:22" ht="12.75" customHeight="1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</row>
    <row r="461" spans="1:22" ht="12.75" customHeight="1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</row>
    <row r="462" spans="1:22" ht="12.75" customHeight="1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</row>
    <row r="463" spans="1:22" ht="12.75" customHeight="1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</row>
    <row r="464" spans="1:22" ht="12.75" customHeight="1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</row>
    <row r="465" spans="1:22" ht="12.75" customHeight="1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</row>
    <row r="466" spans="1:22" ht="12.75" customHeight="1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</row>
    <row r="467" spans="1:22" ht="12.75" customHeight="1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</row>
    <row r="468" spans="1:22" ht="12.75" customHeight="1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</row>
    <row r="469" spans="1:22" ht="12.75" customHeight="1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</row>
    <row r="470" spans="1:22" ht="12.75" customHeight="1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</row>
    <row r="471" spans="1:22" ht="12.75" customHeight="1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</row>
    <row r="472" spans="1:22" ht="12.75" customHeight="1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</row>
    <row r="473" spans="1:22" ht="12.75" customHeight="1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</row>
    <row r="474" spans="1:22" ht="12.75" customHeight="1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</row>
    <row r="475" spans="1:22" ht="12.75" customHeight="1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</row>
    <row r="476" spans="1:22" ht="12.75" customHeight="1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</row>
    <row r="477" spans="1:22" ht="12.75" customHeight="1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</row>
    <row r="478" spans="1:22" ht="12.75" customHeight="1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</row>
    <row r="479" spans="1:22" ht="12.75" customHeight="1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</row>
    <row r="480" spans="1:22" ht="12.75" customHeight="1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</row>
    <row r="481" spans="1:22" ht="12.75" customHeight="1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</row>
    <row r="482" spans="1:22" ht="12.75" customHeight="1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</row>
    <row r="483" spans="1:22" ht="12.75" customHeight="1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</row>
    <row r="484" spans="1:22" ht="12.75" customHeight="1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</row>
    <row r="485" spans="1:22" ht="12.75" customHeight="1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</row>
    <row r="486" spans="1:22" ht="12.75" customHeight="1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</row>
    <row r="487" spans="1:22" ht="12.75" customHeight="1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</row>
    <row r="488" spans="1:22" ht="12.75" customHeight="1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</row>
    <row r="489" spans="1:22" ht="12.75" customHeight="1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</row>
    <row r="490" spans="1:22" ht="12.75" customHeight="1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</row>
    <row r="491" spans="1:22" ht="12.75" customHeight="1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</row>
    <row r="492" spans="1:22" ht="12.75" customHeight="1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</row>
    <row r="493" spans="1:22" ht="12.75" customHeight="1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</row>
    <row r="494" spans="1:22" ht="12.75" customHeight="1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</row>
    <row r="495" spans="1:22" ht="12.75" customHeight="1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</row>
    <row r="496" spans="1:22" ht="12.75" customHeight="1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</row>
    <row r="497" spans="1:22" ht="12.75" customHeight="1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</row>
    <row r="498" spans="1:22" ht="12.75" customHeight="1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</row>
    <row r="499" spans="1:22" ht="12.75" customHeight="1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</row>
    <row r="500" spans="1:22" ht="12.75" customHeight="1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</row>
    <row r="501" spans="1:22" ht="12.75" customHeight="1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</row>
    <row r="502" spans="1:22" ht="12.75" customHeight="1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</row>
    <row r="503" spans="1:22" ht="12.75" customHeight="1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</row>
    <row r="504" spans="1:22" ht="12.75" customHeight="1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</row>
    <row r="505" spans="1:22" ht="12.75" customHeight="1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</row>
    <row r="506" spans="1:22" ht="12.75" customHeight="1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</row>
    <row r="507" spans="1:22" ht="12.75" customHeight="1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</row>
    <row r="508" spans="1:22" ht="12.75" customHeight="1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</row>
    <row r="509" spans="1:22" ht="12.75" customHeight="1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</row>
    <row r="510" spans="1:22" ht="12.75" customHeight="1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</row>
    <row r="511" spans="1:22" ht="12.75" customHeight="1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</row>
    <row r="512" spans="1:22" ht="12.75" customHeight="1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</row>
    <row r="513" spans="1:22" ht="12.75" customHeight="1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</row>
    <row r="514" spans="1:22" ht="12.75" customHeight="1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</row>
    <row r="515" spans="1:22" ht="12.75" customHeight="1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</row>
    <row r="516" spans="1:22" ht="12.75" customHeight="1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</row>
    <row r="517" spans="1:22" ht="12.75" customHeight="1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</row>
    <row r="518" spans="1:22" ht="12.75" customHeight="1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</row>
    <row r="519" spans="1:22" ht="12.75" customHeight="1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</row>
    <row r="520" spans="1:22" ht="12.75" customHeight="1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</row>
    <row r="521" spans="1:22" ht="12.75" customHeight="1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</row>
    <row r="522" spans="1:22" ht="12.75" customHeight="1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</row>
    <row r="523" spans="1:22" ht="12.75" customHeight="1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</row>
    <row r="524" spans="1:22" ht="12.75" customHeight="1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</row>
    <row r="525" spans="1:22" ht="12.75" customHeight="1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</row>
    <row r="526" spans="1:22" ht="12.75" customHeight="1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</row>
    <row r="527" spans="1:22" ht="12.75" customHeight="1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</row>
    <row r="528" spans="1:22" ht="12.75" customHeight="1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</row>
    <row r="529" spans="1:22" ht="12.75" customHeight="1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</row>
    <row r="530" spans="1:22" ht="12.75" customHeight="1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</row>
    <row r="531" spans="1:22" ht="12.75" customHeight="1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</row>
    <row r="532" spans="1:22" ht="12.75" customHeight="1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</row>
    <row r="533" spans="1:22" ht="12.75" customHeight="1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</row>
    <row r="534" spans="1:22" ht="12.75" customHeight="1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</row>
    <row r="535" spans="1:22" ht="12.75" customHeight="1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</row>
    <row r="536" spans="1:22" ht="12.75" customHeight="1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</row>
    <row r="537" spans="1:22" ht="12.75" customHeight="1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</row>
    <row r="538" spans="1:22" ht="12.75" customHeight="1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</row>
    <row r="539" spans="1:22" ht="12.75" customHeight="1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</row>
    <row r="540" spans="1:22" ht="12.75" customHeight="1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</row>
    <row r="541" spans="1:22" ht="12.75" customHeight="1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</row>
    <row r="542" spans="1:22" ht="12.75" customHeight="1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</row>
    <row r="543" spans="1:22" ht="12.75" customHeight="1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</row>
    <row r="544" spans="1:22" ht="12.75" customHeight="1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</row>
    <row r="545" spans="1:22" ht="12.75" customHeight="1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</row>
    <row r="546" spans="1:22" ht="12.75" customHeight="1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</row>
    <row r="547" spans="1:22" ht="12.75" customHeight="1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</row>
    <row r="548" spans="1:22" ht="12.75" customHeight="1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</row>
    <row r="549" spans="1:22" ht="12.75" customHeight="1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</row>
    <row r="550" spans="1:22" ht="12.75" customHeight="1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</row>
    <row r="551" spans="1:22" ht="12.75" customHeight="1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</row>
    <row r="552" spans="1:22" ht="12.75" customHeight="1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</row>
    <row r="553" spans="1:22" ht="12.75" customHeight="1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</row>
    <row r="554" spans="1:22" ht="12.75" customHeight="1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</row>
    <row r="555" spans="1:22" ht="12.75" customHeight="1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</row>
    <row r="556" spans="1:22" ht="12.75" customHeight="1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</row>
    <row r="557" spans="1:22" ht="12.75" customHeight="1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</row>
    <row r="558" spans="1:22" ht="12.75" customHeight="1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</row>
    <row r="559" spans="1:22" ht="12.75" customHeight="1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</row>
    <row r="560" spans="1:22" ht="12.75" customHeight="1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</row>
    <row r="561" spans="1:22" ht="12.75" customHeight="1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</row>
    <row r="562" spans="1:22" ht="12.75" customHeight="1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</row>
    <row r="563" spans="1:22" ht="12.75" customHeight="1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</row>
    <row r="564" spans="1:22" ht="12.75" customHeight="1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</row>
    <row r="565" spans="1:22" ht="12.75" customHeight="1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</row>
    <row r="566" spans="1:22" ht="12.75" customHeight="1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</row>
    <row r="567" spans="1:22" ht="12.75" customHeight="1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</row>
    <row r="568" spans="1:22" ht="12.75" customHeight="1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</row>
    <row r="569" spans="1:22" ht="12.75" customHeight="1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</row>
    <row r="570" spans="1:22" ht="12.75" customHeight="1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</row>
    <row r="571" spans="1:22" ht="12.75" customHeight="1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</row>
    <row r="572" spans="1:22" ht="12.75" customHeight="1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</row>
    <row r="573" spans="1:22" ht="12.75" customHeight="1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</row>
    <row r="574" spans="1:22" ht="12.75" customHeight="1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</row>
    <row r="575" spans="1:22" ht="12.75" customHeight="1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</row>
    <row r="576" spans="1:22" ht="12.75" customHeight="1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</row>
    <row r="577" spans="1:22" ht="12.75" customHeight="1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</row>
    <row r="578" spans="1:22" ht="12.75" customHeight="1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</row>
    <row r="579" spans="1:22" ht="12.75" customHeight="1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</row>
    <row r="580" spans="1:22" ht="12.75" customHeight="1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</row>
    <row r="581" spans="1:22" ht="12.75" customHeight="1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</row>
    <row r="582" spans="1:22" ht="12.75" customHeight="1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</row>
    <row r="583" spans="1:22" ht="12.75" customHeight="1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</row>
    <row r="584" spans="1:22" ht="12.75" customHeight="1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</row>
    <row r="585" spans="1:22" ht="12.75" customHeight="1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</row>
    <row r="586" spans="1:22" ht="12.75" customHeight="1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</row>
    <row r="587" spans="1:22" ht="12.75" customHeight="1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</row>
    <row r="588" spans="1:22" ht="12.75" customHeight="1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</row>
    <row r="589" spans="1:22" ht="12.75" customHeight="1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</row>
    <row r="590" spans="1:22" ht="12.75" customHeight="1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</row>
    <row r="591" spans="1:22" ht="12.75" customHeight="1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</row>
    <row r="592" spans="1:22" ht="12.75" customHeight="1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</row>
    <row r="593" spans="1:22" ht="12.75" customHeight="1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</row>
    <row r="594" spans="1:22" ht="12.75" customHeight="1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</row>
    <row r="595" spans="1:22" ht="12.75" customHeight="1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</row>
    <row r="596" spans="1:22" ht="12.75" customHeight="1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</row>
    <row r="597" spans="1:22" ht="12.75" customHeight="1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</row>
    <row r="598" spans="1:22" ht="12.75" customHeight="1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</row>
    <row r="599" spans="1:22" ht="12.75" customHeight="1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</row>
    <row r="600" spans="1:22" ht="12.75" customHeight="1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</row>
    <row r="601" spans="1:22" ht="12.75" customHeight="1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</row>
    <row r="602" spans="1:22" ht="12.75" customHeight="1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</row>
    <row r="603" spans="1:22" ht="12.75" customHeight="1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</row>
    <row r="604" spans="1:22" ht="12.75" customHeight="1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</row>
    <row r="605" spans="1:22" ht="12.75" customHeight="1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</row>
    <row r="606" spans="1:22" ht="12.75" customHeight="1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</row>
    <row r="607" spans="1:22" ht="12.75" customHeight="1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</row>
    <row r="608" spans="1:22" ht="12.75" customHeight="1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</row>
    <row r="609" spans="1:22" ht="12.75" customHeight="1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</row>
    <row r="610" spans="1:22" ht="12.75" customHeight="1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</row>
    <row r="611" spans="1:22" ht="12.75" customHeight="1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</row>
    <row r="612" spans="1:22" ht="12.75" customHeight="1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</row>
    <row r="613" spans="1:22" ht="12.75" customHeight="1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</row>
    <row r="614" spans="1:22" ht="12.75" customHeight="1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</row>
    <row r="615" spans="1:22" ht="12.75" customHeight="1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</row>
    <row r="616" spans="1:22" ht="12.75" customHeight="1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</row>
    <row r="617" spans="1:22" ht="12.75" customHeight="1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</row>
    <row r="618" spans="1:22" ht="12.75" customHeight="1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</row>
    <row r="619" spans="1:22" ht="12.75" customHeight="1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</row>
    <row r="620" spans="1:22" ht="12.75" customHeight="1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</row>
    <row r="621" spans="1:22" ht="12.75" customHeight="1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</row>
    <row r="622" spans="1:22" ht="12.75" customHeight="1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</row>
    <row r="623" spans="1:22" ht="12.75" customHeight="1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</row>
    <row r="624" spans="1:22" ht="12.75" customHeight="1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</row>
    <row r="625" spans="1:22" ht="12.75" customHeight="1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</row>
    <row r="626" spans="1:22" ht="12.75" customHeight="1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</row>
    <row r="627" spans="1:22" ht="12.75" customHeight="1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</row>
    <row r="628" spans="1:22" ht="12.75" customHeight="1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</row>
    <row r="629" spans="1:22" ht="12.75" customHeight="1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</row>
    <row r="630" spans="1:22" ht="12.75" customHeight="1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</row>
    <row r="631" spans="1:22" ht="12.75" customHeight="1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</row>
    <row r="632" spans="1:22" ht="12.75" customHeight="1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</row>
    <row r="633" spans="1:22" ht="12.75" customHeight="1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</row>
    <row r="634" spans="1:22" ht="12.75" customHeight="1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</row>
    <row r="635" spans="1:22" ht="12.75" customHeight="1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</row>
    <row r="636" spans="1:22" ht="12.75" customHeight="1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</row>
    <row r="637" spans="1:22" ht="12.75" customHeight="1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</row>
    <row r="638" spans="1:22" ht="12.75" customHeight="1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</row>
    <row r="639" spans="1:22" ht="12.75" customHeight="1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</row>
    <row r="640" spans="1:22" ht="12.75" customHeight="1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</row>
    <row r="641" spans="1:22" ht="12.75" customHeight="1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</row>
    <row r="642" spans="1:22" ht="12.75" customHeight="1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</row>
    <row r="643" spans="1:22" ht="12.75" customHeight="1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</row>
    <row r="644" spans="1:22" ht="12.75" customHeight="1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</row>
    <row r="645" spans="1:22" ht="12.75" customHeight="1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</row>
    <row r="646" spans="1:22" ht="12.75" customHeight="1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</row>
    <row r="647" spans="1:22" ht="12.75" customHeight="1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</row>
    <row r="648" spans="1:22" ht="12.75" customHeight="1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</row>
    <row r="649" spans="1:22" ht="12.75" customHeight="1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</row>
    <row r="650" spans="1:22" ht="12.75" customHeight="1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</row>
    <row r="651" spans="1:22" ht="12.75" customHeight="1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</row>
    <row r="652" spans="1:22" ht="12.75" customHeight="1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</row>
    <row r="653" spans="1:22" ht="12.75" customHeight="1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</row>
    <row r="654" spans="1:22" ht="12.75" customHeight="1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</row>
    <row r="655" spans="1:22" ht="12.75" customHeight="1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</row>
    <row r="656" spans="1:22" ht="12.75" customHeight="1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</row>
    <row r="657" spans="1:22" ht="12.75" customHeight="1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</row>
    <row r="658" spans="1:22" ht="12.75" customHeight="1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</row>
    <row r="659" spans="1:22" ht="12.75" customHeight="1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</row>
    <row r="660" spans="1:22" ht="12.75" customHeight="1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</row>
    <row r="661" spans="1:22" ht="12.75" customHeight="1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</row>
    <row r="662" spans="1:22" ht="12.75" customHeight="1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</row>
    <row r="663" spans="1:22" ht="12.75" customHeight="1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</row>
    <row r="664" spans="1:22" ht="12.75" customHeight="1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</row>
    <row r="665" spans="1:22" ht="12.75" customHeight="1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</row>
    <row r="666" spans="1:22" ht="12.75" customHeight="1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</row>
    <row r="667" spans="1:22" ht="12.75" customHeight="1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</row>
    <row r="668" spans="1:22" ht="12.75" customHeight="1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</row>
    <row r="669" spans="1:22" ht="12.75" customHeight="1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</row>
    <row r="670" spans="1:22" ht="12.75" customHeight="1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</row>
    <row r="671" spans="1:22" ht="12.75" customHeight="1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</row>
    <row r="672" spans="1:22" ht="12.75" customHeight="1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</row>
    <row r="673" spans="1:22" ht="12.75" customHeight="1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</row>
    <row r="674" spans="1:22" ht="12.75" customHeight="1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</row>
    <row r="675" spans="1:22" ht="12.75" customHeight="1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</row>
    <row r="676" spans="1:22" ht="12.75" customHeight="1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</row>
    <row r="677" spans="1:22" ht="12.75" customHeight="1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</row>
    <row r="678" spans="1:22" ht="12.75" customHeight="1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</row>
    <row r="679" spans="1:22" ht="12.75" customHeight="1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</row>
    <row r="680" spans="1:22" ht="12.75" customHeight="1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</row>
    <row r="681" spans="1:22" ht="12.75" customHeight="1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</row>
    <row r="682" spans="1:22" ht="12.75" customHeight="1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</row>
    <row r="683" spans="1:22" ht="12.75" customHeight="1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</row>
    <row r="684" spans="1:22" ht="12.75" customHeight="1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</row>
    <row r="685" spans="1:22" ht="12.75" customHeight="1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</row>
    <row r="686" spans="1:22" ht="12.75" customHeight="1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</row>
    <row r="687" spans="1:22" ht="12.75" customHeight="1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</row>
    <row r="688" spans="1:22" ht="12.75" customHeight="1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</row>
    <row r="689" spans="1:22" ht="12.75" customHeight="1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</row>
    <row r="690" spans="1:22" ht="12.75" customHeight="1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</row>
    <row r="691" spans="1:22" ht="12.75" customHeight="1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</row>
    <row r="692" spans="1:22" ht="12.75" customHeight="1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</row>
    <row r="693" spans="1:22" ht="12.75" customHeight="1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</row>
    <row r="694" spans="1:22" ht="12.75" customHeight="1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</row>
    <row r="695" spans="1:22" ht="12.75" customHeight="1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</row>
    <row r="696" spans="1:22" ht="12.75" customHeight="1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</row>
    <row r="697" spans="1:22" ht="12.75" customHeight="1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</row>
    <row r="698" spans="1:22" ht="12.75" customHeight="1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</row>
    <row r="699" spans="1:22" ht="12.75" customHeight="1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</row>
    <row r="700" spans="1:22" ht="12.75" customHeight="1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</row>
    <row r="701" spans="1:22" ht="12.75" customHeight="1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</row>
    <row r="702" spans="1:22" ht="12.75" customHeight="1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</row>
    <row r="703" spans="1:22" ht="12.75" customHeight="1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</row>
    <row r="704" spans="1:22" ht="12.75" customHeight="1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</row>
    <row r="705" spans="1:22" ht="12.75" customHeight="1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</row>
    <row r="706" spans="1:22" ht="12.75" customHeight="1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</row>
    <row r="707" spans="1:22" ht="12.75" customHeight="1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</row>
    <row r="708" spans="1:22" ht="12.75" customHeight="1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</row>
    <row r="709" spans="1:22" ht="12.75" customHeight="1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</row>
    <row r="710" spans="1:22" ht="12.75" customHeight="1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</row>
    <row r="711" spans="1:22" ht="12.75" customHeight="1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</row>
    <row r="712" spans="1:22" ht="12.75" customHeight="1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</row>
    <row r="713" spans="1:22" ht="12.75" customHeight="1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</row>
    <row r="714" spans="1:22" ht="12.75" customHeight="1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</row>
    <row r="715" spans="1:22" ht="12.75" customHeight="1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</row>
    <row r="716" spans="1:22" ht="12.75" customHeight="1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</row>
    <row r="717" spans="1:22" ht="12.75" customHeight="1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</row>
    <row r="718" spans="1:22" ht="12.75" customHeight="1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</row>
    <row r="719" spans="1:22" ht="12.75" customHeight="1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</row>
    <row r="720" spans="1:22" ht="12.75" customHeight="1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</row>
    <row r="721" spans="1:22" ht="12.75" customHeight="1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</row>
    <row r="722" spans="1:22" ht="12.75" customHeight="1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</row>
    <row r="723" spans="1:22" ht="12.75" customHeight="1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</row>
    <row r="724" spans="1:22" ht="12.75" customHeight="1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</row>
    <row r="725" spans="1:22" ht="12.75" customHeight="1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</row>
    <row r="726" spans="1:22" ht="12.75" customHeight="1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</row>
    <row r="727" spans="1:22" ht="12.75" customHeight="1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</row>
    <row r="728" spans="1:22" ht="12.75" customHeight="1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</row>
    <row r="729" spans="1:22" ht="12.75" customHeight="1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</row>
    <row r="730" spans="1:22" ht="12.75" customHeight="1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</row>
    <row r="731" spans="1:22" ht="12.75" customHeight="1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</row>
    <row r="732" spans="1:22" ht="12.75" customHeight="1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</row>
    <row r="733" spans="1:22" ht="12.75" customHeight="1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</row>
    <row r="734" spans="1:22" ht="12.75" customHeight="1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</row>
    <row r="735" spans="1:22" ht="12.75" customHeight="1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</row>
    <row r="736" spans="1:22" ht="12.75" customHeight="1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</row>
    <row r="737" spans="1:22" ht="12.75" customHeight="1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</row>
    <row r="738" spans="1:22" ht="12.75" customHeight="1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</row>
    <row r="739" spans="1:22" ht="12.75" customHeight="1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</row>
    <row r="740" spans="1:22" ht="12.75" customHeight="1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</row>
    <row r="741" spans="1:22" ht="12.75" customHeight="1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</row>
    <row r="742" spans="1:22" ht="12.75" customHeight="1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</row>
    <row r="743" spans="1:22" ht="12.75" customHeight="1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</row>
    <row r="744" spans="1:22" ht="12.75" customHeight="1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</row>
    <row r="745" spans="1:22" ht="12.75" customHeight="1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</row>
    <row r="746" spans="1:22" ht="12.75" customHeight="1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</row>
    <row r="747" spans="1:22" ht="12.75" customHeight="1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</row>
    <row r="748" spans="1:22" ht="12.75" customHeight="1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</row>
    <row r="749" spans="1:22" ht="12.75" customHeight="1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</row>
    <row r="750" spans="1:22" ht="12.75" customHeight="1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</row>
    <row r="751" spans="1:22" ht="12.75" customHeight="1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</row>
    <row r="752" spans="1:22" ht="12.75" customHeight="1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</row>
    <row r="753" spans="1:22" ht="12.75" customHeight="1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</row>
    <row r="754" spans="1:22" ht="12.75" customHeight="1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</row>
    <row r="755" spans="1:22" ht="12.75" customHeight="1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</row>
    <row r="756" spans="1:22" ht="12.75" customHeight="1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</row>
    <row r="757" spans="1:22" ht="12.75" customHeight="1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</row>
    <row r="758" spans="1:22" ht="12.75" customHeight="1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</row>
    <row r="759" spans="1:22" ht="12.75" customHeight="1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</row>
    <row r="760" spans="1:22" ht="12.75" customHeight="1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</row>
    <row r="761" spans="1:22" ht="12.75" customHeight="1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</row>
    <row r="762" spans="1:22" ht="12.75" customHeight="1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</row>
    <row r="763" spans="1:22" ht="12.75" customHeight="1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</row>
    <row r="764" spans="1:22" ht="12.75" customHeight="1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</row>
    <row r="765" spans="1:22" ht="12.75" customHeight="1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</row>
    <row r="766" spans="1:22" ht="12.75" customHeight="1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</row>
    <row r="767" spans="1:22" ht="12.75" customHeight="1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</row>
    <row r="768" spans="1:22" ht="12.75" customHeight="1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</row>
    <row r="769" spans="1:22" ht="12.75" customHeight="1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</row>
    <row r="770" spans="1:22" ht="12.75" customHeight="1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</row>
    <row r="771" spans="1:22" ht="12.75" customHeight="1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</row>
    <row r="772" spans="1:22" ht="12.75" customHeight="1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</row>
    <row r="773" spans="1:22" ht="12.75" customHeight="1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</row>
    <row r="774" spans="1:22" ht="12.75" customHeight="1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</row>
    <row r="775" spans="1:22" ht="12.75" customHeight="1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</row>
    <row r="776" spans="1:22" ht="12.75" customHeight="1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</row>
    <row r="777" spans="1:22" ht="12.75" customHeight="1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</row>
    <row r="778" spans="1:22" ht="12.75" customHeight="1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</row>
    <row r="779" spans="1:22" ht="12.75" customHeight="1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</row>
    <row r="780" spans="1:22" ht="12.75" customHeight="1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</row>
    <row r="781" spans="1:22" ht="12.75" customHeight="1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</row>
    <row r="782" spans="1:22" ht="12.75" customHeight="1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</row>
    <row r="783" spans="1:22" ht="12.75" customHeight="1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</row>
    <row r="784" spans="1:22" ht="12.75" customHeight="1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</row>
    <row r="785" spans="1:22" ht="12.75" customHeight="1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</row>
    <row r="786" spans="1:22" ht="12.75" customHeight="1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</row>
    <row r="787" spans="1:22" ht="12.75" customHeight="1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</row>
    <row r="788" spans="1:22" ht="12.75" customHeight="1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</row>
    <row r="789" spans="1:22" ht="12.75" customHeight="1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</row>
    <row r="790" spans="1:22" ht="12.75" customHeight="1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</row>
    <row r="791" spans="1:22" ht="12.75" customHeight="1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</row>
    <row r="792" spans="1:22" ht="12.75" customHeight="1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</row>
    <row r="793" spans="1:22" ht="12.75" customHeight="1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</row>
    <row r="794" spans="1:22" ht="12.75" customHeight="1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</row>
    <row r="795" spans="1:22" ht="12.75" customHeight="1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</row>
    <row r="796" spans="1:22" ht="12.75" customHeight="1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</row>
    <row r="797" spans="1:22" ht="12.75" customHeight="1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</row>
    <row r="798" spans="1:22" ht="12.75" customHeight="1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</row>
    <row r="799" spans="1:22" ht="12.75" customHeight="1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</row>
    <row r="800" spans="1:22" ht="12.75" customHeight="1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</row>
    <row r="801" spans="1:22" ht="12.75" customHeight="1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</row>
    <row r="802" spans="1:22" ht="12.75" customHeight="1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</row>
    <row r="803" spans="1:22" ht="12.75" customHeight="1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</row>
    <row r="804" spans="1:22" ht="12.75" customHeight="1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</row>
    <row r="805" spans="1:22" ht="12.75" customHeight="1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</row>
    <row r="806" spans="1:22" ht="12.75" customHeight="1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</row>
    <row r="807" spans="1:22" ht="12.75" customHeight="1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</row>
    <row r="808" spans="1:22" ht="12.75" customHeight="1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</row>
    <row r="809" spans="1:22" ht="12.75" customHeight="1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</row>
    <row r="810" spans="1:22" ht="12.75" customHeight="1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</row>
    <row r="811" spans="1:22" ht="12.75" customHeight="1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</row>
    <row r="812" spans="1:22" ht="12.75" customHeight="1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</row>
    <row r="813" spans="1:22" ht="12.75" customHeight="1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</row>
    <row r="814" spans="1:22" ht="12.75" customHeight="1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</row>
    <row r="815" spans="1:22" ht="12.75" customHeight="1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</row>
    <row r="816" spans="1:22" ht="12.75" customHeight="1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</row>
    <row r="817" spans="1:22" ht="12.75" customHeight="1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</row>
    <row r="818" spans="1:22" ht="12.75" customHeight="1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</row>
    <row r="819" spans="1:22" ht="12.75" customHeight="1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</row>
    <row r="820" spans="1:22" ht="12.75" customHeight="1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</row>
    <row r="821" spans="1:22" ht="12.75" customHeight="1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</row>
    <row r="822" spans="1:22" ht="12.75" customHeight="1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</row>
    <row r="823" spans="1:22" ht="12.75" customHeight="1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</row>
    <row r="824" spans="1:22" ht="12.75" customHeight="1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</row>
    <row r="825" spans="1:22" ht="12.75" customHeight="1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</row>
    <row r="826" spans="1:22" ht="12.75" customHeight="1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</row>
    <row r="827" spans="1:22" ht="12.75" customHeight="1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</row>
    <row r="828" spans="1:22" ht="12.75" customHeight="1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</row>
    <row r="829" spans="1:22" ht="12.75" customHeight="1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</row>
    <row r="830" spans="1:22" ht="12.75" customHeight="1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</row>
    <row r="831" spans="1:22" ht="12.75" customHeight="1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</row>
    <row r="832" spans="1:22" ht="12.75" customHeight="1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</row>
    <row r="833" spans="1:22" ht="12.75" customHeight="1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</row>
    <row r="834" spans="1:22" ht="12.75" customHeight="1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</row>
    <row r="835" spans="1:22" ht="12.75" customHeight="1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</row>
    <row r="836" spans="1:22" ht="12.75" customHeight="1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</row>
    <row r="837" spans="1:22" ht="12.75" customHeight="1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</row>
    <row r="838" spans="1:22" ht="12.75" customHeight="1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</row>
    <row r="839" spans="1:22" ht="12.75" customHeight="1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</row>
    <row r="840" spans="1:22" ht="12.75" customHeight="1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</row>
    <row r="841" spans="1:22" ht="12.75" customHeight="1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</row>
    <row r="842" spans="1:22" ht="12.75" customHeight="1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</row>
    <row r="843" spans="1:22" ht="12.75" customHeight="1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</row>
    <row r="844" spans="1:22" ht="12.75" customHeight="1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</row>
    <row r="845" spans="1:22" ht="12.75" customHeight="1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</row>
    <row r="846" spans="1:22" ht="12.75" customHeight="1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</row>
    <row r="847" spans="1:22" ht="12.75" customHeight="1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</row>
    <row r="848" spans="1:22" ht="12.75" customHeight="1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</row>
    <row r="849" spans="1:22" ht="12.75" customHeight="1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</row>
    <row r="850" spans="1:22" ht="12.75" customHeight="1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</row>
    <row r="851" spans="1:22" ht="12.75" customHeight="1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</row>
    <row r="852" spans="1:22" ht="12.75" customHeight="1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</row>
    <row r="853" spans="1:22" ht="12.75" customHeight="1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</row>
    <row r="854" spans="1:22" ht="12.75" customHeight="1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</row>
    <row r="855" spans="1:22" ht="12.75" customHeight="1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</row>
    <row r="856" spans="1:22" ht="12.75" customHeight="1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</row>
    <row r="857" spans="1:22" ht="12.75" customHeight="1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</row>
    <row r="858" spans="1:22" ht="12.75" customHeight="1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</row>
    <row r="859" spans="1:22" ht="12.75" customHeight="1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</row>
    <row r="860" spans="1:22" ht="12.75" customHeight="1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</row>
    <row r="861" spans="1:22" ht="12.75" customHeight="1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</row>
    <row r="862" spans="1:22" ht="12.75" customHeight="1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</row>
    <row r="863" spans="1:22" ht="12.75" customHeight="1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</row>
    <row r="864" spans="1:22" ht="12.75" customHeight="1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</row>
    <row r="865" spans="1:22" ht="12.75" customHeight="1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</row>
    <row r="866" spans="1:22" ht="12.75" customHeight="1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</row>
    <row r="867" spans="1:22" ht="12.75" customHeight="1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</row>
    <row r="868" spans="1:22" ht="12.75" customHeight="1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</row>
    <row r="869" spans="1:22" ht="12.75" customHeight="1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</row>
    <row r="870" spans="1:22" ht="12.75" customHeight="1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</row>
    <row r="871" spans="1:22" ht="12.75" customHeight="1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</row>
    <row r="872" spans="1:22" ht="12.75" customHeight="1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</row>
    <row r="873" spans="1:22" ht="12.75" customHeight="1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</row>
    <row r="874" spans="1:22" ht="12.75" customHeight="1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</row>
    <row r="875" spans="1:22" ht="12.75" customHeight="1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</row>
    <row r="876" spans="1:22" ht="12.75" customHeight="1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</row>
    <row r="877" spans="1:22" ht="12.75" customHeight="1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</row>
    <row r="878" spans="1:22" ht="12.75" customHeight="1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</row>
    <row r="879" spans="1:22" ht="12.75" customHeight="1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</row>
    <row r="880" spans="1:22" ht="12.75" customHeight="1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</row>
    <row r="881" spans="1:22" ht="12.75" customHeight="1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</row>
    <row r="882" spans="1:22" ht="12.75" customHeight="1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</row>
    <row r="883" spans="1:22" ht="12.75" customHeight="1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</row>
    <row r="884" spans="1:22" ht="12.75" customHeight="1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</row>
    <row r="885" spans="1:22" ht="12.75" customHeight="1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</row>
    <row r="886" spans="1:22" ht="12.75" customHeight="1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</row>
    <row r="887" spans="1:22" ht="12.75" customHeight="1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</row>
    <row r="888" spans="1:22" ht="12.75" customHeight="1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</row>
    <row r="889" spans="1:22" ht="12.75" customHeight="1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</row>
    <row r="890" spans="1:22" ht="12.75" customHeight="1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</row>
    <row r="891" spans="1:22" ht="12.75" customHeight="1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</row>
    <row r="892" spans="1:22" ht="12.75" customHeight="1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</row>
    <row r="893" spans="1:22" ht="12.75" customHeight="1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</row>
    <row r="894" spans="1:22" ht="12.75" customHeight="1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</row>
    <row r="895" spans="1:22" ht="12.75" customHeight="1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</row>
    <row r="896" spans="1:22" ht="12.75" customHeight="1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</row>
    <row r="897" spans="1:22" ht="12.75" customHeight="1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</row>
    <row r="898" spans="1:22" ht="12.75" customHeight="1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</row>
    <row r="899" spans="1:22" ht="12.75" customHeight="1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</row>
    <row r="900" spans="1:22" ht="12.75" customHeight="1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</row>
    <row r="901" spans="1:22" ht="12.75" customHeight="1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</row>
    <row r="902" spans="1:22" ht="12.75" customHeight="1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</row>
    <row r="903" spans="1:22" ht="12.75" customHeight="1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</row>
    <row r="904" spans="1:22" ht="12.75" customHeight="1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</row>
    <row r="905" spans="1:22" ht="12.75" customHeight="1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</row>
    <row r="906" spans="1:22" ht="12.75" customHeight="1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</row>
    <row r="907" spans="1:22" ht="12.75" customHeight="1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</row>
    <row r="908" spans="1:22" ht="12.75" customHeight="1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</row>
    <row r="909" spans="1:22" ht="12.75" customHeight="1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</row>
    <row r="910" spans="1:22" ht="12.75" customHeight="1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</row>
    <row r="911" spans="1:22" ht="12.75" customHeight="1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</row>
    <row r="912" spans="1:22" ht="12.75" customHeight="1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</row>
    <row r="913" spans="1:22" ht="12.75" customHeight="1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</row>
    <row r="914" spans="1:22" ht="12.75" customHeight="1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</row>
    <row r="915" spans="1:22" ht="12.75" customHeight="1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</row>
    <row r="916" spans="1:22" ht="12.75" customHeight="1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</row>
    <row r="917" spans="1:22" ht="12.75" customHeight="1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</row>
    <row r="918" spans="1:22" ht="12.75" customHeight="1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</row>
    <row r="919" spans="1:22" ht="12.75" customHeight="1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</row>
    <row r="920" spans="1:22" ht="12.75" customHeight="1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</row>
    <row r="921" spans="1:22" ht="12.75" customHeight="1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</row>
    <row r="922" spans="1:22" ht="12.75" customHeight="1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</row>
    <row r="923" spans="1:22" ht="12.75" customHeight="1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</row>
    <row r="924" spans="1:22" ht="12.75" customHeight="1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</row>
    <row r="925" spans="1:22" ht="12.75" customHeight="1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</row>
    <row r="926" spans="1:22" ht="12.75" customHeight="1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</row>
    <row r="927" spans="1:22" ht="12.75" customHeight="1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</row>
    <row r="928" spans="1:22" ht="12.75" customHeight="1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</row>
    <row r="929" spans="1:22" ht="12.75" customHeight="1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</row>
    <row r="930" spans="1:22" ht="12.75" customHeight="1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</row>
    <row r="931" spans="1:22" ht="12.75" customHeight="1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</row>
    <row r="932" spans="1:22" ht="12.75" customHeight="1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</row>
    <row r="933" spans="1:22" ht="12.75" customHeight="1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</row>
    <row r="934" spans="1:22" ht="12.75" customHeight="1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</row>
    <row r="935" spans="1:22" ht="12.75" customHeight="1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</row>
    <row r="936" spans="1:22" ht="12.75" customHeight="1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</row>
    <row r="937" spans="1:22" ht="12.75" customHeight="1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</row>
    <row r="938" spans="1:22" ht="12.75" customHeight="1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</row>
    <row r="939" spans="1:22" ht="12.75" customHeight="1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</row>
    <row r="940" spans="1:22" ht="12.75" customHeight="1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</row>
    <row r="941" spans="1:22" ht="12.75" customHeight="1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</row>
    <row r="942" spans="1:22" ht="12.75" customHeight="1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</row>
    <row r="943" spans="1:22" ht="12.75" customHeight="1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</row>
    <row r="944" spans="1:22" ht="12.75" customHeight="1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</row>
    <row r="945" spans="1:22" ht="12.75" customHeight="1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</row>
    <row r="946" spans="1:22" ht="12.75" customHeight="1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</row>
    <row r="947" spans="1:22" ht="12.75" customHeight="1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</row>
    <row r="948" spans="1:22" ht="12.75" customHeight="1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</row>
    <row r="949" spans="1:22" ht="12.75" customHeight="1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</row>
    <row r="950" spans="1:22" ht="12.75" customHeight="1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</row>
    <row r="951" spans="1:22" ht="12.75" customHeight="1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</row>
    <row r="952" spans="1:22" ht="12.75" customHeight="1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</row>
    <row r="953" spans="1:22" ht="12.75" customHeight="1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</row>
    <row r="954" spans="1:22" ht="12.75" customHeight="1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</row>
    <row r="955" spans="1:22" ht="12.75" customHeight="1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</row>
    <row r="956" spans="1:22" ht="12.75" customHeight="1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</row>
    <row r="957" spans="1:22" ht="12.75" customHeight="1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</row>
    <row r="958" spans="1:22" ht="12.75" customHeight="1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</row>
    <row r="959" spans="1:22" ht="12.75" customHeight="1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</row>
    <row r="960" spans="1:22" ht="12.75" customHeight="1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</row>
    <row r="961" spans="1:22" ht="12.75" customHeight="1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</row>
    <row r="962" spans="1:22" ht="12.75" customHeight="1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</row>
    <row r="963" spans="1:22" ht="12.75" customHeight="1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</row>
    <row r="964" spans="1:22" ht="12.75" customHeight="1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</row>
    <row r="965" spans="1:22" ht="12.75" customHeight="1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</row>
    <row r="966" spans="1:22" ht="12.75" customHeight="1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</row>
    <row r="967" spans="1:22" ht="12.75" customHeight="1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</row>
    <row r="968" spans="1:22" ht="12.75" customHeight="1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</row>
    <row r="969" spans="1:22" ht="12.75" customHeight="1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</row>
    <row r="970" spans="1:22" ht="12.75" customHeight="1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</row>
    <row r="971" spans="1:22" ht="12.75" customHeight="1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</row>
    <row r="972" spans="1:22" ht="12.75" customHeight="1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</row>
    <row r="973" spans="1:22" ht="12.75" customHeight="1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</row>
    <row r="974" spans="1:22" ht="12.75" customHeight="1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</row>
    <row r="975" spans="1:22" ht="12.75" customHeight="1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</row>
    <row r="976" spans="1:22" ht="12.75" customHeight="1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</row>
    <row r="977" spans="1:22" ht="12.75" customHeight="1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</row>
    <row r="978" spans="1:22" ht="12.75" customHeight="1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</row>
    <row r="979" spans="1:22" ht="12.75" customHeight="1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</row>
    <row r="980" spans="1:22" ht="12.75" customHeight="1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</row>
    <row r="981" spans="1:22" ht="12.75" customHeight="1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</row>
    <row r="982" spans="1:22" ht="12.75" customHeight="1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</row>
    <row r="983" spans="1:22" ht="12.75" customHeight="1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</row>
    <row r="984" spans="1:22" ht="12.75" customHeight="1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</row>
    <row r="985" spans="1:22" ht="12.75" customHeight="1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</row>
    <row r="986" spans="1:22" ht="12.75" customHeight="1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</row>
    <row r="987" spans="1:22" ht="12.75" customHeight="1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</row>
    <row r="988" spans="1:22" ht="12.75" customHeight="1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</row>
    <row r="989" spans="1:22" ht="12.75" customHeight="1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</row>
    <row r="990" spans="1:22" ht="12.75" customHeight="1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</row>
    <row r="991" spans="1:22" ht="12.75" customHeight="1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</row>
    <row r="992" spans="1:22" ht="12.75" customHeight="1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</row>
    <row r="993" spans="1:22" ht="12.75" customHeight="1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</row>
    <row r="994" spans="1:22" ht="12.75" customHeight="1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</row>
    <row r="995" spans="1:22" ht="12.75" customHeight="1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</row>
    <row r="996" spans="1:22" ht="12.75" customHeight="1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</row>
    <row r="997" spans="1:22" ht="12.75" customHeight="1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</row>
    <row r="998" spans="1:22" ht="12.75" customHeight="1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</row>
    <row r="999" spans="1:22" ht="12.75" customHeight="1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</row>
    <row r="1000" spans="1:22" ht="12.75" customHeight="1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00"/>
  <sheetViews>
    <sheetView showGridLines="0" workbookViewId="0">
      <selection activeCell="G14" sqref="G14"/>
    </sheetView>
  </sheetViews>
  <sheetFormatPr baseColWidth="10" defaultColWidth="12.7109375" defaultRowHeight="15" customHeight="1" x14ac:dyDescent="0.2"/>
  <cols>
    <col min="1" max="1" width="10.7109375" customWidth="1"/>
    <col min="2" max="2" width="80.42578125" customWidth="1"/>
    <col min="3" max="3" width="14.28515625" hidden="1" customWidth="1"/>
    <col min="4" max="4" width="12.7109375" customWidth="1"/>
    <col min="5" max="5" width="16" customWidth="1"/>
    <col min="6" max="22" width="10.7109375" customWidth="1"/>
  </cols>
  <sheetData>
    <row r="1" spans="2:5" ht="12.75" customHeight="1" x14ac:dyDescent="0.2"/>
    <row r="2" spans="2:5" ht="12.75" customHeight="1" thickBot="1" x14ac:dyDescent="0.25"/>
    <row r="3" spans="2:5" ht="12.75" customHeight="1" thickBot="1" x14ac:dyDescent="0.25">
      <c r="B3" s="101" t="s">
        <v>1052</v>
      </c>
      <c r="D3" s="126">
        <v>2.5000000000000001E-2</v>
      </c>
      <c r="E3" s="126">
        <v>2.4E-2</v>
      </c>
    </row>
    <row r="4" spans="2:5" ht="12.75" customHeight="1" thickBot="1" x14ac:dyDescent="0.25">
      <c r="B4" s="65"/>
    </row>
    <row r="5" spans="2:5" ht="12.75" customHeight="1" thickBot="1" x14ac:dyDescent="0.3">
      <c r="B5" s="102" t="s">
        <v>3</v>
      </c>
      <c r="C5" s="103">
        <v>45992</v>
      </c>
      <c r="D5" s="103">
        <v>46023</v>
      </c>
      <c r="E5" s="103">
        <v>46054</v>
      </c>
    </row>
    <row r="6" spans="2:5" ht="12.75" customHeight="1" x14ac:dyDescent="0.2">
      <c r="B6" s="104" t="s">
        <v>1053</v>
      </c>
      <c r="C6" s="119">
        <v>16908.709923634084</v>
      </c>
      <c r="D6" s="71">
        <f>IFERROR(C6*(1+$D$3),C6)</f>
        <v>17331.427671724934</v>
      </c>
      <c r="E6" s="71">
        <f>IFERROR(D6*(1+$E$3),D6)</f>
        <v>17747.381935846333</v>
      </c>
    </row>
    <row r="7" spans="2:5" ht="12.75" customHeight="1" x14ac:dyDescent="0.2">
      <c r="B7" s="104" t="s">
        <v>1054</v>
      </c>
      <c r="C7" s="119">
        <v>25363.06488545112</v>
      </c>
      <c r="D7" s="71">
        <f t="shared" ref="D7:D20" si="0">IFERROR(C7*(1+$D$3),C7)</f>
        <v>25997.141507587396</v>
      </c>
      <c r="E7" s="71">
        <f t="shared" ref="E7:E33" si="1">IFERROR(D7*(1+$E$3),D7)</f>
        <v>26621.072903769495</v>
      </c>
    </row>
    <row r="8" spans="2:5" ht="12.75" customHeight="1" x14ac:dyDescent="0.2">
      <c r="B8" s="104" t="s">
        <v>1055</v>
      </c>
      <c r="C8" s="119">
        <v>36635.538167873849</v>
      </c>
      <c r="D8" s="71">
        <f t="shared" si="0"/>
        <v>37551.426622070692</v>
      </c>
      <c r="E8" s="71">
        <f t="shared" si="1"/>
        <v>38452.66086100039</v>
      </c>
    </row>
    <row r="9" spans="2:5" ht="12.75" customHeight="1" x14ac:dyDescent="0.2">
      <c r="B9" s="104" t="s">
        <v>1056</v>
      </c>
      <c r="C9" s="119">
        <v>88261.900180080687</v>
      </c>
      <c r="D9" s="71">
        <f t="shared" si="0"/>
        <v>90468.447684582701</v>
      </c>
      <c r="E9" s="71">
        <f t="shared" si="1"/>
        <v>92639.690429012684</v>
      </c>
    </row>
    <row r="10" spans="2:5" ht="12.75" customHeight="1" x14ac:dyDescent="0.2">
      <c r="B10" s="104" t="s">
        <v>1057</v>
      </c>
      <c r="C10" s="119">
        <v>119848.30969020273</v>
      </c>
      <c r="D10" s="71">
        <f t="shared" si="0"/>
        <v>122844.5174324578</v>
      </c>
      <c r="E10" s="71">
        <f t="shared" si="1"/>
        <v>125792.78585083678</v>
      </c>
    </row>
    <row r="11" spans="2:5" ht="12.75" customHeight="1" x14ac:dyDescent="0.2">
      <c r="B11" s="104" t="s">
        <v>1058</v>
      </c>
      <c r="C11" s="119">
        <v>87929.205656120321</v>
      </c>
      <c r="D11" s="71">
        <f t="shared" si="0"/>
        <v>90127.435797523314</v>
      </c>
      <c r="E11" s="71">
        <f t="shared" si="1"/>
        <v>92290.494256663878</v>
      </c>
    </row>
    <row r="12" spans="2:5" ht="12.75" customHeight="1" x14ac:dyDescent="0.2">
      <c r="B12" s="104" t="s">
        <v>1059</v>
      </c>
      <c r="C12" s="119">
        <v>76950.286365427353</v>
      </c>
      <c r="D12" s="71">
        <f t="shared" si="0"/>
        <v>78874.043524563036</v>
      </c>
      <c r="E12" s="71">
        <f t="shared" si="1"/>
        <v>80767.020569152548</v>
      </c>
    </row>
    <row r="13" spans="2:5" ht="12.75" customHeight="1" x14ac:dyDescent="0.2">
      <c r="B13" s="104" t="s">
        <v>1060</v>
      </c>
      <c r="C13" s="119">
        <v>25363.06488545112</v>
      </c>
      <c r="D13" s="71">
        <f t="shared" si="0"/>
        <v>25997.141507587396</v>
      </c>
      <c r="E13" s="71">
        <f t="shared" si="1"/>
        <v>26621.072903769495</v>
      </c>
    </row>
    <row r="14" spans="2:5" ht="12.75" customHeight="1" x14ac:dyDescent="0.2">
      <c r="B14" s="104" t="s">
        <v>1061</v>
      </c>
      <c r="C14" s="119">
        <v>76950.286365427353</v>
      </c>
      <c r="D14" s="71">
        <f t="shared" si="0"/>
        <v>78874.043524563036</v>
      </c>
      <c r="E14" s="71">
        <f t="shared" si="1"/>
        <v>80767.020569152548</v>
      </c>
    </row>
    <row r="15" spans="2:5" ht="12.75" customHeight="1" x14ac:dyDescent="0.2">
      <c r="B15" s="104" t="s">
        <v>1062</v>
      </c>
      <c r="C15" s="119">
        <v>19765.968776470399</v>
      </c>
      <c r="D15" s="71">
        <f t="shared" si="0"/>
        <v>20260.117995882159</v>
      </c>
      <c r="E15" s="71">
        <f t="shared" si="1"/>
        <v>20746.36082778333</v>
      </c>
    </row>
    <row r="16" spans="2:5" ht="12.75" customHeight="1" x14ac:dyDescent="0.2">
      <c r="B16" s="104" t="s">
        <v>1063</v>
      </c>
      <c r="C16" s="119">
        <v>14677.699586487921</v>
      </c>
      <c r="D16" s="71">
        <f t="shared" si="0"/>
        <v>15044.642076150118</v>
      </c>
      <c r="E16" s="71">
        <f t="shared" si="1"/>
        <v>15405.713485977722</v>
      </c>
    </row>
    <row r="17" spans="2:5" ht="12.75" customHeight="1" x14ac:dyDescent="0.2">
      <c r="B17" s="104" t="s">
        <v>1064</v>
      </c>
      <c r="C17" s="119">
        <v>14677.699586487921</v>
      </c>
      <c r="D17" s="71">
        <f t="shared" si="0"/>
        <v>15044.642076150118</v>
      </c>
      <c r="E17" s="71">
        <f t="shared" si="1"/>
        <v>15405.713485977722</v>
      </c>
    </row>
    <row r="18" spans="2:5" ht="12.75" customHeight="1" x14ac:dyDescent="0.2">
      <c r="B18" s="104" t="s">
        <v>1065</v>
      </c>
      <c r="C18" s="119">
        <v>17476.247640978287</v>
      </c>
      <c r="D18" s="71">
        <f t="shared" si="0"/>
        <v>17913.153832002743</v>
      </c>
      <c r="E18" s="71">
        <f t="shared" si="1"/>
        <v>18343.069523970807</v>
      </c>
    </row>
    <row r="19" spans="2:5" ht="12.75" customHeight="1" x14ac:dyDescent="0.2">
      <c r="B19" s="106" t="s">
        <v>1066</v>
      </c>
      <c r="C19" s="119">
        <v>53320.500000000007</v>
      </c>
      <c r="D19" s="71">
        <f t="shared" si="0"/>
        <v>54653.512500000004</v>
      </c>
      <c r="E19" s="71">
        <f t="shared" si="1"/>
        <v>55965.196800000005</v>
      </c>
    </row>
    <row r="20" spans="2:5" ht="12.75" customHeight="1" thickBot="1" x14ac:dyDescent="0.25">
      <c r="B20" s="107" t="s">
        <v>1067</v>
      </c>
      <c r="C20" s="119">
        <v>17476.247640978287</v>
      </c>
      <c r="D20" s="71">
        <f t="shared" si="0"/>
        <v>17913.153832002743</v>
      </c>
      <c r="E20" s="71">
        <f t="shared" si="1"/>
        <v>18343.069523970807</v>
      </c>
    </row>
    <row r="21" spans="2:5" ht="12.75" customHeight="1" thickBot="1" x14ac:dyDescent="0.25">
      <c r="B21" s="65"/>
    </row>
    <row r="22" spans="2:5" ht="12.75" customHeight="1" thickBot="1" x14ac:dyDescent="0.3">
      <c r="B22" s="102" t="s">
        <v>1068</v>
      </c>
      <c r="C22" s="103">
        <v>45992</v>
      </c>
      <c r="D22" s="103">
        <v>46023</v>
      </c>
      <c r="E22" s="103">
        <v>46054</v>
      </c>
    </row>
    <row r="23" spans="2:5" ht="12.75" customHeight="1" x14ac:dyDescent="0.2">
      <c r="B23" s="104" t="s">
        <v>1069</v>
      </c>
      <c r="C23" s="105">
        <v>99456.092398042136</v>
      </c>
      <c r="D23" s="71">
        <f t="shared" ref="D23:D33" si="2">IFERROR(C23*(1+$D$3),C23)</f>
        <v>101942.49470799317</v>
      </c>
      <c r="E23" s="71">
        <f t="shared" si="1"/>
        <v>104389.11458098501</v>
      </c>
    </row>
    <row r="24" spans="2:5" ht="12.75" customHeight="1" x14ac:dyDescent="0.2">
      <c r="B24" s="104" t="s">
        <v>1070</v>
      </c>
      <c r="C24" s="105">
        <v>502368.73118019331</v>
      </c>
      <c r="D24" s="71">
        <f t="shared" si="2"/>
        <v>514927.94945969811</v>
      </c>
      <c r="E24" s="71">
        <f t="shared" si="1"/>
        <v>527286.22024673084</v>
      </c>
    </row>
    <row r="25" spans="2:5" ht="12.75" customHeight="1" x14ac:dyDescent="0.2">
      <c r="B25" s="104" t="s">
        <v>1071</v>
      </c>
      <c r="C25" s="105">
        <v>147755.50917064509</v>
      </c>
      <c r="D25" s="71">
        <f t="shared" si="2"/>
        <v>151449.3968999112</v>
      </c>
      <c r="E25" s="71">
        <f t="shared" si="1"/>
        <v>155084.18242550906</v>
      </c>
    </row>
    <row r="26" spans="2:5" ht="12.75" customHeight="1" x14ac:dyDescent="0.2">
      <c r="B26" s="104" t="s">
        <v>1072</v>
      </c>
      <c r="C26" s="105">
        <v>131120.78297262543</v>
      </c>
      <c r="D26" s="71">
        <f t="shared" si="2"/>
        <v>134398.80254694106</v>
      </c>
      <c r="E26" s="71">
        <f t="shared" si="1"/>
        <v>137624.37380806764</v>
      </c>
    </row>
    <row r="27" spans="2:5" ht="12.75" customHeight="1" x14ac:dyDescent="0.2">
      <c r="B27" s="104" t="s">
        <v>1073</v>
      </c>
      <c r="C27" s="105">
        <v>131120.78297262543</v>
      </c>
      <c r="D27" s="71">
        <f t="shared" si="2"/>
        <v>134398.80254694106</v>
      </c>
      <c r="E27" s="71">
        <f t="shared" si="1"/>
        <v>137624.37380806764</v>
      </c>
    </row>
    <row r="28" spans="2:5" ht="12.75" customHeight="1" x14ac:dyDescent="0.2">
      <c r="B28" s="104" t="s">
        <v>1074</v>
      </c>
      <c r="C28" s="105">
        <v>92958.764047756806</v>
      </c>
      <c r="D28" s="71">
        <f t="shared" si="2"/>
        <v>95282.73314895072</v>
      </c>
      <c r="E28" s="71">
        <f t="shared" si="1"/>
        <v>97569.518744525543</v>
      </c>
    </row>
    <row r="29" spans="2:5" ht="12.75" customHeight="1" x14ac:dyDescent="0.2">
      <c r="B29" s="104" t="s">
        <v>1075</v>
      </c>
      <c r="C29" s="105">
        <v>539160.83147698967</v>
      </c>
      <c r="D29" s="71">
        <f t="shared" si="2"/>
        <v>552639.8522639143</v>
      </c>
      <c r="E29" s="71">
        <f t="shared" si="1"/>
        <v>565903.20871824829</v>
      </c>
    </row>
    <row r="30" spans="2:5" ht="12.75" customHeight="1" x14ac:dyDescent="0.2">
      <c r="B30" s="104" t="s">
        <v>1076</v>
      </c>
      <c r="C30" s="105">
        <v>665389.04792078573</v>
      </c>
      <c r="D30" s="71">
        <f t="shared" si="2"/>
        <v>682023.7741188053</v>
      </c>
      <c r="E30" s="71">
        <f t="shared" si="1"/>
        <v>698392.34469765669</v>
      </c>
    </row>
    <row r="31" spans="2:5" ht="12.75" customHeight="1" x14ac:dyDescent="0.2">
      <c r="B31" s="104" t="s">
        <v>1077</v>
      </c>
      <c r="C31" s="105">
        <v>304709.0434154892</v>
      </c>
      <c r="D31" s="71">
        <f t="shared" si="2"/>
        <v>312326.76950087643</v>
      </c>
      <c r="E31" s="71">
        <f t="shared" si="1"/>
        <v>319822.61196889746</v>
      </c>
    </row>
    <row r="32" spans="2:5" ht="12.75" customHeight="1" x14ac:dyDescent="0.2">
      <c r="B32" s="104" t="s">
        <v>1078</v>
      </c>
      <c r="C32" s="105">
        <v>565580.6907326678</v>
      </c>
      <c r="D32" s="71">
        <f t="shared" si="2"/>
        <v>579720.20800098439</v>
      </c>
      <c r="E32" s="71">
        <f t="shared" si="1"/>
        <v>593633.492993008</v>
      </c>
    </row>
    <row r="33" spans="2:5" ht="12.75" customHeight="1" thickBot="1" x14ac:dyDescent="0.25">
      <c r="B33" s="107" t="s">
        <v>1079</v>
      </c>
      <c r="C33" s="105">
        <v>556774.07098077517</v>
      </c>
      <c r="D33" s="71">
        <f t="shared" si="2"/>
        <v>570693.42275529448</v>
      </c>
      <c r="E33" s="71">
        <f t="shared" si="1"/>
        <v>584390.06490142155</v>
      </c>
    </row>
    <row r="34" spans="2:5" ht="12.75" customHeight="1" thickBot="1" x14ac:dyDescent="0.25">
      <c r="B34" s="65"/>
    </row>
    <row r="35" spans="2:5" ht="12.75" customHeight="1" thickBot="1" x14ac:dyDescent="0.3">
      <c r="B35" s="102" t="s">
        <v>1080</v>
      </c>
      <c r="C35" s="103">
        <v>45992</v>
      </c>
    </row>
    <row r="36" spans="2:5" ht="12.75" customHeight="1" x14ac:dyDescent="0.2">
      <c r="B36" s="104" t="s">
        <v>1081</v>
      </c>
      <c r="C36" s="105">
        <v>606678.24957483402</v>
      </c>
    </row>
    <row r="37" spans="2:5" ht="12.75" customHeight="1" x14ac:dyDescent="0.2">
      <c r="B37" s="104" t="s">
        <v>1082</v>
      </c>
      <c r="C37" s="105">
        <v>1018828.0539634152</v>
      </c>
    </row>
    <row r="38" spans="2:5" ht="12.75" customHeight="1" x14ac:dyDescent="0.2">
      <c r="B38" s="104" t="s">
        <v>1083</v>
      </c>
      <c r="C38" s="105">
        <v>97264.222593126615</v>
      </c>
    </row>
    <row r="39" spans="2:5" ht="12.75" customHeight="1" x14ac:dyDescent="0.2">
      <c r="B39" s="104" t="s">
        <v>1084</v>
      </c>
      <c r="C39" s="105">
        <v>92958.764047756806</v>
      </c>
    </row>
    <row r="40" spans="2:5" ht="12.75" customHeight="1" x14ac:dyDescent="0.2">
      <c r="B40" s="104" t="s">
        <v>1085</v>
      </c>
      <c r="C40" s="105">
        <v>54013.934478275551</v>
      </c>
    </row>
    <row r="41" spans="2:5" ht="12.75" customHeight="1" x14ac:dyDescent="0.2">
      <c r="B41" s="104" t="s">
        <v>1086</v>
      </c>
      <c r="C41" s="105">
        <v>289639.93850669492</v>
      </c>
    </row>
    <row r="42" spans="2:5" ht="12.75" customHeight="1" x14ac:dyDescent="0.2">
      <c r="B42" s="104" t="s">
        <v>1087</v>
      </c>
      <c r="C42" s="105">
        <v>67713.120758997611</v>
      </c>
    </row>
    <row r="43" spans="2:5" ht="12.75" customHeight="1" x14ac:dyDescent="0.2">
      <c r="B43" s="104" t="s">
        <v>1088</v>
      </c>
      <c r="C43" s="105">
        <v>83173.630990098216</v>
      </c>
    </row>
    <row r="44" spans="2:5" ht="12.75" customHeight="1" x14ac:dyDescent="0.2">
      <c r="B44" s="104" t="s">
        <v>1089</v>
      </c>
      <c r="C44" s="105">
        <v>73975.605915899112</v>
      </c>
    </row>
    <row r="45" spans="2:5" ht="12.75" customHeight="1" x14ac:dyDescent="0.2">
      <c r="B45" s="104" t="s">
        <v>1090</v>
      </c>
      <c r="C45" s="105">
        <v>73975.605915899112</v>
      </c>
    </row>
    <row r="46" spans="2:5" ht="12.75" customHeight="1" x14ac:dyDescent="0.2">
      <c r="B46" s="104" t="s">
        <v>1091</v>
      </c>
      <c r="C46" s="105">
        <v>86109.170907395775</v>
      </c>
    </row>
    <row r="47" spans="2:5" ht="12.75" customHeight="1" x14ac:dyDescent="0.2">
      <c r="B47" s="104" t="s">
        <v>1092</v>
      </c>
      <c r="C47" s="105">
        <v>193745.63454164055</v>
      </c>
    </row>
    <row r="48" spans="2:5" ht="12.75" customHeight="1" x14ac:dyDescent="0.2">
      <c r="B48" s="104" t="s">
        <v>1093</v>
      </c>
      <c r="C48" s="105">
        <v>98536.28989062224</v>
      </c>
    </row>
    <row r="49" spans="2:3" ht="12.75" customHeight="1" x14ac:dyDescent="0.2">
      <c r="B49" s="104" t="s">
        <v>1094</v>
      </c>
      <c r="C49" s="105">
        <v>83173.630990098216</v>
      </c>
    </row>
    <row r="50" spans="2:3" ht="12.75" customHeight="1" x14ac:dyDescent="0.2">
      <c r="B50" s="104" t="s">
        <v>1095</v>
      </c>
      <c r="C50" s="105">
        <v>101765.38379964959</v>
      </c>
    </row>
    <row r="51" spans="2:3" ht="12.75" customHeight="1" x14ac:dyDescent="0.2">
      <c r="B51" s="104" t="s">
        <v>1096</v>
      </c>
      <c r="C51" s="105">
        <v>83173.630990098216</v>
      </c>
    </row>
    <row r="52" spans="2:3" ht="12.75" customHeight="1" x14ac:dyDescent="0.2">
      <c r="B52" s="104" t="s">
        <v>1097</v>
      </c>
      <c r="C52" s="105">
        <v>101765.38379964959</v>
      </c>
    </row>
    <row r="53" spans="2:3" ht="12.75" customHeight="1" x14ac:dyDescent="0.2">
      <c r="B53" s="104" t="s">
        <v>1098</v>
      </c>
      <c r="C53" s="105">
        <v>101765.38379964959</v>
      </c>
    </row>
    <row r="54" spans="2:3" ht="12.75" customHeight="1" x14ac:dyDescent="0.2">
      <c r="B54" s="104" t="s">
        <v>1099</v>
      </c>
      <c r="C54" s="105">
        <v>169312.15729666696</v>
      </c>
    </row>
    <row r="55" spans="2:3" ht="12.75" customHeight="1" x14ac:dyDescent="0.2">
      <c r="B55" s="104" t="s">
        <v>1100</v>
      </c>
      <c r="C55" s="105">
        <v>138528.128697273</v>
      </c>
    </row>
    <row r="56" spans="2:3" ht="12.75" customHeight="1" x14ac:dyDescent="0.2">
      <c r="B56" s="104" t="s">
        <v>1101</v>
      </c>
      <c r="C56" s="105">
        <v>83173.630990098216</v>
      </c>
    </row>
    <row r="57" spans="2:3" ht="12.75" customHeight="1" x14ac:dyDescent="0.2">
      <c r="B57" s="104" t="s">
        <v>1102</v>
      </c>
      <c r="C57" s="105">
        <v>120063.5826174712</v>
      </c>
    </row>
    <row r="58" spans="2:3" ht="12.75" customHeight="1" x14ac:dyDescent="0.2">
      <c r="B58" s="104" t="s">
        <v>1103</v>
      </c>
      <c r="C58" s="105">
        <v>117030.19136959704</v>
      </c>
    </row>
    <row r="59" spans="2:3" ht="12.75" customHeight="1" x14ac:dyDescent="0.2">
      <c r="B59" s="104" t="s">
        <v>1104</v>
      </c>
      <c r="C59" s="105">
        <v>98634.141221198821</v>
      </c>
    </row>
    <row r="60" spans="2:3" ht="12.75" customHeight="1" x14ac:dyDescent="0.2">
      <c r="B60" s="104" t="s">
        <v>1105</v>
      </c>
      <c r="C60" s="105">
        <v>141590.87534432011</v>
      </c>
    </row>
    <row r="61" spans="2:3" ht="12.75" customHeight="1" x14ac:dyDescent="0.2">
      <c r="B61" s="104" t="s">
        <v>1106</v>
      </c>
      <c r="C61" s="105">
        <v>754208.70068515302</v>
      </c>
    </row>
    <row r="62" spans="2:3" ht="12.75" customHeight="1" x14ac:dyDescent="0.2">
      <c r="B62" s="104" t="s">
        <v>1107</v>
      </c>
      <c r="C62" s="105">
        <v>73975.605915899112</v>
      </c>
    </row>
    <row r="63" spans="2:3" ht="12.75" customHeight="1" thickBot="1" x14ac:dyDescent="0.25">
      <c r="B63" s="107" t="s">
        <v>1108</v>
      </c>
      <c r="C63" s="105">
        <v>994560.92398042174</v>
      </c>
    </row>
    <row r="64" spans="2: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00"/>
  <sheetViews>
    <sheetView showGridLines="0" workbookViewId="0">
      <selection activeCell="C1" sqref="C1:C1048576"/>
    </sheetView>
  </sheetViews>
  <sheetFormatPr baseColWidth="10" defaultColWidth="12.7109375" defaultRowHeight="15" customHeight="1" x14ac:dyDescent="0.2"/>
  <cols>
    <col min="1" max="1" width="33.85546875" customWidth="1"/>
    <col min="2" max="2" width="14.5703125" hidden="1" customWidth="1"/>
    <col min="3" max="3" width="11.42578125" hidden="1" customWidth="1"/>
    <col min="4" max="4" width="16.85546875" customWidth="1"/>
    <col min="5" max="22" width="11.42578125" customWidth="1"/>
  </cols>
  <sheetData>
    <row r="1" spans="1:22" ht="12.7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2" ht="12.75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</row>
    <row r="3" spans="1:22" ht="32.25" customHeight="1" thickBot="1" x14ac:dyDescent="0.25">
      <c r="A3" s="108" t="s">
        <v>1109</v>
      </c>
      <c r="B3" s="65"/>
      <c r="C3" s="124">
        <v>2.5000000000000001E-2</v>
      </c>
      <c r="D3" s="124">
        <v>2.4E-2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1:22" ht="12.75" customHeight="1" thickBot="1" x14ac:dyDescent="0.25">
      <c r="A4" s="109" t="s">
        <v>1110</v>
      </c>
      <c r="B4" s="110">
        <v>45992</v>
      </c>
      <c r="C4" s="110">
        <v>46023</v>
      </c>
      <c r="D4" s="110">
        <v>46024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</row>
    <row r="5" spans="1:22" ht="12.75" customHeight="1" thickTop="1" thickBot="1" x14ac:dyDescent="0.25">
      <c r="A5" s="111" t="s">
        <v>1111</v>
      </c>
      <c r="B5" s="116">
        <v>189140.22040415969</v>
      </c>
      <c r="C5" s="71">
        <f>IFERROR(B5*(1+$C$3),B5)</f>
        <v>193868.72591426366</v>
      </c>
      <c r="D5" s="71">
        <f>IFERROR(C5*(1+$D$3),C5)</f>
        <v>198521.57533620601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</row>
    <row r="6" spans="1:22" ht="12.75" customHeight="1" thickBot="1" x14ac:dyDescent="0.25">
      <c r="A6" s="111" t="s">
        <v>1112</v>
      </c>
      <c r="B6" s="116">
        <v>217540.54391362134</v>
      </c>
      <c r="C6" s="71">
        <f t="shared" ref="C6:C29" si="0">IFERROR(B6*(1+$C$3),B6)</f>
        <v>222979.05751146184</v>
      </c>
      <c r="D6" s="71">
        <f t="shared" ref="D6:D29" si="1">IFERROR(C6*(1+$D$3),C6)</f>
        <v>228330.55489173692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</row>
    <row r="7" spans="1:22" ht="12.75" customHeight="1" thickBot="1" x14ac:dyDescent="0.25">
      <c r="A7" s="111" t="s">
        <v>1113</v>
      </c>
      <c r="B7" s="116">
        <v>250170.86470978564</v>
      </c>
      <c r="C7" s="71">
        <f t="shared" si="0"/>
        <v>256425.13632753026</v>
      </c>
      <c r="D7" s="71">
        <f t="shared" si="1"/>
        <v>262579.33959939098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</row>
    <row r="8" spans="1:22" ht="12.75" customHeight="1" thickBot="1" x14ac:dyDescent="0.25">
      <c r="A8" s="111" t="s">
        <v>1114</v>
      </c>
      <c r="B8" s="116">
        <v>287700.67876608745</v>
      </c>
      <c r="C8" s="71">
        <f t="shared" si="0"/>
        <v>294893.1957352396</v>
      </c>
      <c r="D8" s="71">
        <f t="shared" si="1"/>
        <v>301970.63243288535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</row>
    <row r="9" spans="1:22" ht="12.75" customHeight="1" thickBot="1" x14ac:dyDescent="0.25">
      <c r="A9" s="111" t="s">
        <v>1115</v>
      </c>
      <c r="B9" s="116">
        <v>330847.66547829227</v>
      </c>
      <c r="C9" s="71">
        <f t="shared" si="0"/>
        <v>339118.85711524956</v>
      </c>
      <c r="D9" s="71">
        <f t="shared" si="1"/>
        <v>347257.70968601556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</row>
    <row r="10" spans="1:22" ht="12.75" customHeight="1" thickBot="1" x14ac:dyDescent="0.25">
      <c r="A10" s="111" t="s">
        <v>1116</v>
      </c>
      <c r="B10" s="116">
        <v>380519.70196189149</v>
      </c>
      <c r="C10" s="71">
        <f t="shared" si="0"/>
        <v>390032.69451093877</v>
      </c>
      <c r="D10" s="71">
        <f t="shared" si="1"/>
        <v>399393.4791792013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</row>
    <row r="11" spans="1:22" ht="12.75" customHeight="1" thickBot="1" x14ac:dyDescent="0.25">
      <c r="A11" s="111" t="s">
        <v>1117</v>
      </c>
      <c r="B11" s="116">
        <v>437563.80206206377</v>
      </c>
      <c r="C11" s="71">
        <f t="shared" si="0"/>
        <v>448502.8971136153</v>
      </c>
      <c r="D11" s="71">
        <f t="shared" si="1"/>
        <v>459266.96664434206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</row>
    <row r="12" spans="1:22" ht="12.75" customHeight="1" thickBot="1" x14ac:dyDescent="0.25">
      <c r="A12" s="111" t="s">
        <v>1118</v>
      </c>
      <c r="B12" s="116">
        <v>503166.79954989901</v>
      </c>
      <c r="C12" s="71">
        <f t="shared" si="0"/>
        <v>515745.96953864646</v>
      </c>
      <c r="D12" s="71">
        <f t="shared" si="1"/>
        <v>528123.87280757399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</row>
    <row r="13" spans="1:22" ht="12.75" customHeight="1" thickBot="1" x14ac:dyDescent="0.25">
      <c r="A13" s="111" t="s">
        <v>1119</v>
      </c>
      <c r="B13" s="116">
        <v>578690.51009863394</v>
      </c>
      <c r="C13" s="71">
        <f t="shared" si="0"/>
        <v>593157.77285109973</v>
      </c>
      <c r="D13" s="71">
        <f t="shared" si="1"/>
        <v>607393.5593995261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</row>
    <row r="14" spans="1:22" ht="12.75" customHeight="1" thickBot="1" x14ac:dyDescent="0.25">
      <c r="A14" s="111" t="s">
        <v>1120</v>
      </c>
      <c r="B14" s="116">
        <v>665496.74938150495</v>
      </c>
      <c r="C14" s="71">
        <f t="shared" si="0"/>
        <v>682134.16811604251</v>
      </c>
      <c r="D14" s="71">
        <f t="shared" si="1"/>
        <v>698505.38815082749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</row>
    <row r="15" spans="1:22" ht="12.75" customHeight="1" thickBot="1" x14ac:dyDescent="0.25">
      <c r="A15" s="111" t="s">
        <v>1121</v>
      </c>
      <c r="B15" s="116">
        <v>765302.36881523789</v>
      </c>
      <c r="C15" s="71">
        <f t="shared" si="0"/>
        <v>784434.92803561874</v>
      </c>
      <c r="D15" s="71">
        <f t="shared" si="1"/>
        <v>803261.36630847363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</row>
    <row r="16" spans="1:22" ht="12.75" customHeight="1" thickBot="1" x14ac:dyDescent="0.25">
      <c r="A16" s="111" t="s">
        <v>1122</v>
      </c>
      <c r="B16" s="116">
        <v>880158.96780327521</v>
      </c>
      <c r="C16" s="71">
        <f t="shared" si="0"/>
        <v>902162.94199835707</v>
      </c>
      <c r="D16" s="71">
        <f t="shared" si="1"/>
        <v>923814.85260631761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</row>
    <row r="17" spans="1:22" ht="12.75" customHeight="1" thickBot="1" x14ac:dyDescent="0.25">
      <c r="A17" s="111" t="s">
        <v>1123</v>
      </c>
      <c r="B17" s="116">
        <v>1012156.185293005</v>
      </c>
      <c r="C17" s="71">
        <f t="shared" si="0"/>
        <v>1037460.08992533</v>
      </c>
      <c r="D17" s="71">
        <f t="shared" si="1"/>
        <v>1062359.132083538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</row>
    <row r="18" spans="1:22" ht="12.75" customHeight="1" thickBot="1" x14ac:dyDescent="0.25">
      <c r="A18" s="111" t="s">
        <v>1124</v>
      </c>
      <c r="B18" s="116">
        <v>1163918.7498166435</v>
      </c>
      <c r="C18" s="71">
        <f t="shared" si="0"/>
        <v>1193016.7185620596</v>
      </c>
      <c r="D18" s="71">
        <f t="shared" si="1"/>
        <v>1221649.1198075491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</row>
    <row r="19" spans="1:22" ht="12.75" customHeight="1" thickBot="1" x14ac:dyDescent="0.25">
      <c r="A19" s="111" t="s">
        <v>1125</v>
      </c>
      <c r="B19" s="116">
        <v>1338530.4004033455</v>
      </c>
      <c r="C19" s="71">
        <f t="shared" si="0"/>
        <v>1371993.6604134289</v>
      </c>
      <c r="D19" s="71">
        <f t="shared" si="1"/>
        <v>1404921.5082633512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</row>
    <row r="20" spans="1:22" ht="12.75" customHeight="1" thickBot="1" x14ac:dyDescent="0.25">
      <c r="A20" s="111" t="s">
        <v>1126</v>
      </c>
      <c r="B20" s="116">
        <v>1539356.3687074604</v>
      </c>
      <c r="C20" s="71">
        <f t="shared" si="0"/>
        <v>1577840.2779251467</v>
      </c>
      <c r="D20" s="71">
        <f t="shared" si="1"/>
        <v>1615708.4445953502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 spans="1:22" ht="12.75" customHeight="1" thickBot="1" x14ac:dyDescent="0.25">
      <c r="A21" s="111" t="s">
        <v>1127</v>
      </c>
      <c r="B21" s="116">
        <v>1770220.8968802756</v>
      </c>
      <c r="C21" s="71">
        <f t="shared" si="0"/>
        <v>1814476.4193022824</v>
      </c>
      <c r="D21" s="71">
        <f t="shared" si="1"/>
        <v>1858023.8533655372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</row>
    <row r="22" spans="1:22" ht="12.75" customHeight="1" thickBot="1" x14ac:dyDescent="0.25">
      <c r="A22" s="111" t="s">
        <v>1128</v>
      </c>
      <c r="B22" s="116">
        <v>2035782.5610702762</v>
      </c>
      <c r="C22" s="71">
        <f t="shared" si="0"/>
        <v>2086677.1250970329</v>
      </c>
      <c r="D22" s="71">
        <f t="shared" si="1"/>
        <v>2136757.3760993616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</row>
    <row r="23" spans="1:22" ht="12.75" customHeight="1" thickBot="1" x14ac:dyDescent="0.25">
      <c r="A23" s="111" t="s">
        <v>1129</v>
      </c>
      <c r="B23" s="116">
        <v>2341143.7321053068</v>
      </c>
      <c r="C23" s="71">
        <f t="shared" si="0"/>
        <v>2399672.3254079395</v>
      </c>
      <c r="D23" s="71">
        <f t="shared" si="1"/>
        <v>2457264.4612177303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</row>
    <row r="24" spans="1:22" ht="12.75" customHeight="1" thickBot="1" x14ac:dyDescent="0.25">
      <c r="A24" s="111" t="s">
        <v>1130</v>
      </c>
      <c r="B24" s="116">
        <v>2692301.9780807216</v>
      </c>
      <c r="C24" s="71">
        <f t="shared" si="0"/>
        <v>2759609.5275327396</v>
      </c>
      <c r="D24" s="71">
        <f t="shared" si="1"/>
        <v>2825840.1561935255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</row>
    <row r="25" spans="1:22" ht="12.75" customHeight="1" thickBot="1" x14ac:dyDescent="0.25">
      <c r="A25" s="111" t="s">
        <v>1131</v>
      </c>
      <c r="B25" s="116">
        <v>3096172.8880857541</v>
      </c>
      <c r="C25" s="71">
        <f t="shared" si="0"/>
        <v>3173577.2102878978</v>
      </c>
      <c r="D25" s="71">
        <f t="shared" si="1"/>
        <v>3249743.0633348073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</row>
    <row r="26" spans="1:22" ht="12.75" customHeight="1" thickBot="1" x14ac:dyDescent="0.25">
      <c r="A26" s="111" t="s">
        <v>1132</v>
      </c>
      <c r="B26" s="116">
        <v>56777.82329255635</v>
      </c>
      <c r="C26" s="71">
        <f t="shared" si="0"/>
        <v>58197.268874870257</v>
      </c>
      <c r="D26" s="71">
        <f t="shared" si="1"/>
        <v>59594.003327867147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</row>
    <row r="27" spans="1:22" ht="12.75" customHeight="1" thickBot="1" x14ac:dyDescent="0.25">
      <c r="A27" s="111" t="s">
        <v>1133</v>
      </c>
      <c r="B27" s="116">
        <v>94581.522065263372</v>
      </c>
      <c r="C27" s="71">
        <f t="shared" si="0"/>
        <v>96946.060116894951</v>
      </c>
      <c r="D27" s="71">
        <f t="shared" si="1"/>
        <v>99272.765559700434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</row>
    <row r="28" spans="1:22" ht="12.75" customHeight="1" thickBot="1" x14ac:dyDescent="0.25">
      <c r="A28" s="111" t="s">
        <v>1134</v>
      </c>
      <c r="B28" s="116">
        <v>189140.22040415969</v>
      </c>
      <c r="C28" s="71">
        <f t="shared" si="0"/>
        <v>193868.72591426366</v>
      </c>
      <c r="D28" s="71">
        <f t="shared" si="1"/>
        <v>198521.57533620601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</row>
    <row r="29" spans="1:22" ht="12.75" customHeight="1" thickBot="1" x14ac:dyDescent="0.25">
      <c r="A29" s="112" t="s">
        <v>1135</v>
      </c>
      <c r="B29" s="116">
        <v>282971.09546890494</v>
      </c>
      <c r="C29" s="71">
        <f t="shared" si="0"/>
        <v>290045.37285562756</v>
      </c>
      <c r="D29" s="71">
        <f t="shared" si="1"/>
        <v>297006.46180416265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</row>
    <row r="30" spans="1:22" ht="12.75" customHeight="1" thickTop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</row>
    <row r="31" spans="1:22" ht="12.75" customHeight="1" x14ac:dyDescent="0.2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</row>
    <row r="32" spans="1:22" ht="12.75" customHeight="1" x14ac:dyDescent="0.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</row>
    <row r="33" spans="1:22" ht="12.75" customHeight="1" x14ac:dyDescent="0.2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</row>
    <row r="34" spans="1:22" ht="12.75" customHeight="1" x14ac:dyDescent="0.2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</row>
    <row r="35" spans="1:22" ht="12.75" customHeight="1" x14ac:dyDescent="0.2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</row>
    <row r="36" spans="1:22" ht="12.75" customHeight="1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</row>
    <row r="37" spans="1:22" ht="12.75" customHeight="1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</row>
    <row r="38" spans="1:22" ht="12.75" customHeight="1" x14ac:dyDescent="0.2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</row>
    <row r="39" spans="1:22" ht="12.75" customHeight="1" x14ac:dyDescent="0.2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</row>
    <row r="40" spans="1:22" ht="12.75" customHeight="1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</row>
    <row r="41" spans="1:22" ht="12.75" customHeight="1" x14ac:dyDescent="0.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</row>
    <row r="42" spans="1:22" ht="12.75" customHeight="1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</row>
    <row r="43" spans="1:22" ht="12.75" customHeight="1" x14ac:dyDescent="0.2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</row>
    <row r="44" spans="1:22" ht="12.75" customHeight="1" x14ac:dyDescent="0.2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</row>
    <row r="45" spans="1:22" ht="12.75" customHeight="1" x14ac:dyDescent="0.2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</row>
    <row r="46" spans="1:22" ht="12.75" customHeight="1" x14ac:dyDescent="0.2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</row>
    <row r="47" spans="1:22" ht="12.75" customHeight="1" x14ac:dyDescent="0.2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48" spans="1:22" ht="12.75" customHeight="1" x14ac:dyDescent="0.2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</row>
    <row r="49" spans="1:22" ht="12.75" customHeight="1" x14ac:dyDescent="0.2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50" spans="1:22" ht="12.75" customHeight="1" x14ac:dyDescent="0.2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 spans="1:22" ht="12.75" customHeight="1" x14ac:dyDescent="0.2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</row>
    <row r="52" spans="1:22" ht="12.75" customHeight="1" x14ac:dyDescent="0.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 spans="1:22" ht="12.75" customHeight="1" x14ac:dyDescent="0.2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spans="1:22" ht="12.75" customHeight="1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spans="1:22" ht="12.75" customHeight="1" x14ac:dyDescent="0.2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spans="1:22" ht="12.75" customHeight="1" x14ac:dyDescent="0.2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spans="1:22" ht="12.75" customHeight="1" x14ac:dyDescent="0.2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spans="1:22" ht="12.75" customHeight="1" x14ac:dyDescent="0.2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spans="1:22" ht="12.75" customHeight="1" x14ac:dyDescent="0.2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spans="1:22" ht="12.75" customHeight="1" x14ac:dyDescent="0.2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spans="1:22" ht="12.75" customHeight="1" x14ac:dyDescent="0.2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spans="1:22" ht="12.7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spans="1:22" ht="12.75" customHeight="1" x14ac:dyDescent="0.2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spans="1:22" ht="12.7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spans="1:22" ht="12.75" customHeight="1" x14ac:dyDescent="0.2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spans="1:22" ht="12.75" customHeight="1" x14ac:dyDescent="0.2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spans="1:22" ht="12.75" customHeight="1" x14ac:dyDescent="0.2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spans="1:22" ht="12.75" customHeight="1" x14ac:dyDescent="0.2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spans="1:22" ht="12.75" customHeight="1" x14ac:dyDescent="0.2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spans="1:22" ht="12.75" customHeight="1" x14ac:dyDescent="0.2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spans="1:22" ht="12.75" customHeight="1" x14ac:dyDescent="0.2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spans="1:22" ht="12.75" customHeight="1" x14ac:dyDescent="0.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spans="1:22" ht="12.75" customHeight="1" x14ac:dyDescent="0.2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spans="1:22" ht="12.75" customHeight="1" x14ac:dyDescent="0.2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spans="1:22" ht="12.75" customHeight="1" x14ac:dyDescent="0.2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spans="1:22" ht="12.75" customHeight="1" x14ac:dyDescent="0.2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spans="1:22" ht="12.75" customHeight="1" x14ac:dyDescent="0.2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spans="1:22" ht="12.75" customHeight="1" x14ac:dyDescent="0.2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spans="1:22" ht="12.75" customHeight="1" x14ac:dyDescent="0.2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spans="1:22" ht="12.75" customHeight="1" x14ac:dyDescent="0.2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spans="1:22" ht="12.75" customHeight="1" x14ac:dyDescent="0.2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spans="1:22" ht="12.75" customHeight="1" x14ac:dyDescent="0.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spans="1:22" ht="12.75" customHeight="1" x14ac:dyDescent="0.2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spans="1:22" ht="12.75" customHeight="1" x14ac:dyDescent="0.2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spans="1:22" ht="12.75" customHeight="1" x14ac:dyDescent="0.2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spans="1:22" ht="12.75" customHeight="1" x14ac:dyDescent="0.2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spans="1:22" ht="12.75" customHeight="1" x14ac:dyDescent="0.2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spans="1:22" ht="12.75" customHeight="1" x14ac:dyDescent="0.2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spans="1:22" ht="12.75" customHeight="1" x14ac:dyDescent="0.2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spans="1:22" ht="12.75" customHeight="1" x14ac:dyDescent="0.2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spans="1:22" ht="12.75" customHeight="1" x14ac:dyDescent="0.2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spans="1:22" ht="12.75" customHeight="1" x14ac:dyDescent="0.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spans="1:22" ht="12.75" customHeight="1" x14ac:dyDescent="0.2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spans="1:22" ht="12.75" customHeight="1" x14ac:dyDescent="0.2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spans="1:22" ht="12.75" customHeight="1" x14ac:dyDescent="0.2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spans="1:22" ht="12.75" customHeight="1" x14ac:dyDescent="0.2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spans="1:22" ht="12.75" customHeight="1" x14ac:dyDescent="0.2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spans="1:22" ht="12.75" customHeight="1" x14ac:dyDescent="0.2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spans="1:22" ht="12.75" customHeight="1" x14ac:dyDescent="0.2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spans="1:22" ht="12.75" customHeight="1" x14ac:dyDescent="0.2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spans="1:22" ht="12.75" customHeight="1" x14ac:dyDescent="0.2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spans="1:22" ht="12.75" customHeight="1" x14ac:dyDescent="0.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spans="1:22" ht="12.75" customHeight="1" x14ac:dyDescent="0.2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spans="1:22" ht="12.75" customHeight="1" x14ac:dyDescent="0.2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spans="1:22" ht="12.75" customHeight="1" x14ac:dyDescent="0.2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spans="1:22" ht="12.75" customHeight="1" x14ac:dyDescent="0.2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spans="1:22" ht="12.75" customHeight="1" x14ac:dyDescent="0.2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spans="1:22" ht="12.75" customHeight="1" x14ac:dyDescent="0.2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spans="1:22" ht="12.75" customHeight="1" x14ac:dyDescent="0.2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spans="1:22" ht="12.75" customHeight="1" x14ac:dyDescent="0.2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spans="1:22" ht="12.75" customHeight="1" x14ac:dyDescent="0.2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spans="1:22" ht="12.75" customHeight="1" x14ac:dyDescent="0.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spans="1:22" ht="12.75" customHeight="1" x14ac:dyDescent="0.2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spans="1:22" ht="12.75" customHeight="1" x14ac:dyDescent="0.2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spans="1:22" ht="12.75" customHeight="1" x14ac:dyDescent="0.2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spans="1:22" ht="12.75" customHeight="1" x14ac:dyDescent="0.2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spans="1:22" ht="12.75" customHeight="1" x14ac:dyDescent="0.2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spans="1:22" ht="12.75" customHeight="1" x14ac:dyDescent="0.2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spans="1:22" ht="12.75" customHeight="1" x14ac:dyDescent="0.2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spans="1:22" ht="12.75" customHeight="1" x14ac:dyDescent="0.2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spans="1:22" ht="12.75" customHeight="1" x14ac:dyDescent="0.2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spans="1:22" ht="12.75" customHeight="1" x14ac:dyDescent="0.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spans="1:22" ht="12.75" customHeight="1" x14ac:dyDescent="0.2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spans="1:22" ht="12.75" customHeight="1" x14ac:dyDescent="0.2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spans="1:22" ht="12.75" customHeight="1" x14ac:dyDescent="0.2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spans="1:22" ht="12.75" customHeight="1" x14ac:dyDescent="0.2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spans="1:22" ht="12.75" customHeight="1" x14ac:dyDescent="0.2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spans="1:22" ht="12.75" customHeight="1" x14ac:dyDescent="0.2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spans="1:22" ht="12.75" customHeight="1" x14ac:dyDescent="0.2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spans="1:22" ht="12.75" customHeight="1" x14ac:dyDescent="0.2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spans="1:22" ht="12.75" customHeight="1" x14ac:dyDescent="0.2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spans="1:22" ht="12.75" customHeight="1" x14ac:dyDescent="0.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spans="1:22" ht="12.75" customHeight="1" x14ac:dyDescent="0.2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spans="1:22" ht="12.75" customHeight="1" x14ac:dyDescent="0.2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spans="1:22" ht="12.75" customHeight="1" x14ac:dyDescent="0.2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spans="1:22" ht="12.75" customHeight="1" x14ac:dyDescent="0.2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spans="1:22" ht="12.75" customHeight="1" x14ac:dyDescent="0.2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spans="1:22" ht="12.75" customHeight="1" x14ac:dyDescent="0.2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spans="1:22" ht="12.75" customHeight="1" x14ac:dyDescent="0.2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spans="1:22" ht="12.75" customHeight="1" x14ac:dyDescent="0.2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spans="1:22" ht="12.75" customHeight="1" x14ac:dyDescent="0.2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spans="1:22" ht="12.75" customHeight="1" x14ac:dyDescent="0.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spans="1:22" ht="12.75" customHeight="1" x14ac:dyDescent="0.2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spans="1:22" ht="12.75" customHeight="1" x14ac:dyDescent="0.2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spans="1:22" ht="12.75" customHeight="1" x14ac:dyDescent="0.2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spans="1:22" ht="12.75" customHeight="1" x14ac:dyDescent="0.2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spans="1:22" ht="12.75" customHeight="1" x14ac:dyDescent="0.2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spans="1:22" ht="12.75" customHeight="1" x14ac:dyDescent="0.2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spans="1:22" ht="12.75" customHeight="1" x14ac:dyDescent="0.2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spans="1:22" ht="12.75" customHeight="1" x14ac:dyDescent="0.2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spans="1:22" ht="12.75" customHeight="1" x14ac:dyDescent="0.2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ht="12.75" customHeight="1" x14ac:dyDescent="0.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spans="1:22" ht="12.75" customHeight="1" x14ac:dyDescent="0.2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spans="1:22" ht="12.75" customHeight="1" x14ac:dyDescent="0.2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spans="1:22" ht="12.75" customHeight="1" x14ac:dyDescent="0.2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spans="1:22" ht="12.75" customHeight="1" x14ac:dyDescent="0.2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spans="1:22" ht="12.75" customHeight="1" x14ac:dyDescent="0.2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spans="1:22" ht="12.75" customHeight="1" x14ac:dyDescent="0.2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spans="1:22" ht="12.75" customHeight="1" x14ac:dyDescent="0.2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spans="1:22" ht="12.75" customHeight="1" x14ac:dyDescent="0.2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spans="1:22" ht="12.75" customHeight="1" x14ac:dyDescent="0.2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spans="1:22" ht="12.75" customHeight="1" x14ac:dyDescent="0.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spans="1:22" ht="12.75" customHeight="1" x14ac:dyDescent="0.2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spans="1:22" ht="12.75" customHeight="1" x14ac:dyDescent="0.2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spans="1:22" ht="12.75" customHeight="1" x14ac:dyDescent="0.2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spans="1:22" ht="12.75" customHeight="1" x14ac:dyDescent="0.2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spans="1:22" ht="12.75" customHeight="1" x14ac:dyDescent="0.2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spans="1:22" ht="12.75" customHeight="1" x14ac:dyDescent="0.2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spans="1:22" ht="12.75" customHeight="1" x14ac:dyDescent="0.2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spans="1:22" ht="12.75" customHeight="1" x14ac:dyDescent="0.2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spans="1:22" ht="12.75" customHeight="1" x14ac:dyDescent="0.2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spans="1:22" ht="12.75" customHeight="1" x14ac:dyDescent="0.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spans="1:22" ht="12.75" customHeight="1" x14ac:dyDescent="0.2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spans="1:22" ht="12.75" customHeight="1" x14ac:dyDescent="0.2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spans="1:22" ht="12.75" customHeight="1" x14ac:dyDescent="0.2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spans="1:22" ht="12.75" customHeight="1" x14ac:dyDescent="0.2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spans="1:22" ht="12.75" customHeight="1" x14ac:dyDescent="0.2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spans="1:22" ht="12.75" customHeight="1" x14ac:dyDescent="0.2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spans="1:22" ht="12.75" customHeight="1" x14ac:dyDescent="0.2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spans="1:22" ht="12.75" customHeight="1" x14ac:dyDescent="0.2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spans="1:22" ht="12.75" customHeight="1" x14ac:dyDescent="0.2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spans="1:22" ht="12.75" customHeight="1" x14ac:dyDescent="0.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spans="1:22" ht="12.75" customHeight="1" x14ac:dyDescent="0.2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spans="1:22" ht="12.75" customHeight="1" x14ac:dyDescent="0.2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spans="1:22" ht="12.75" customHeight="1" x14ac:dyDescent="0.2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spans="1:22" ht="12.75" customHeight="1" x14ac:dyDescent="0.2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spans="1:22" ht="12.75" customHeight="1" x14ac:dyDescent="0.2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spans="1:22" ht="12.75" customHeight="1" x14ac:dyDescent="0.2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spans="1:22" ht="12.75" customHeight="1" x14ac:dyDescent="0.2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spans="1:22" ht="12.75" customHeight="1" x14ac:dyDescent="0.2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spans="1:22" ht="12.75" customHeight="1" x14ac:dyDescent="0.2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spans="1:22" ht="12.75" customHeight="1" x14ac:dyDescent="0.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spans="1:22" ht="12.75" customHeight="1" x14ac:dyDescent="0.2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spans="1:22" ht="12.75" customHeight="1" x14ac:dyDescent="0.2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spans="1:22" ht="12.75" customHeight="1" x14ac:dyDescent="0.2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spans="1:22" ht="12.75" customHeight="1" x14ac:dyDescent="0.2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spans="1:22" ht="12.75" customHeight="1" x14ac:dyDescent="0.2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spans="1:22" ht="12.75" customHeight="1" x14ac:dyDescent="0.2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spans="1:22" ht="12.75" customHeight="1" x14ac:dyDescent="0.2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spans="1:22" ht="12.75" customHeight="1" x14ac:dyDescent="0.2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spans="1:22" ht="12.75" customHeight="1" x14ac:dyDescent="0.2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spans="1:22" ht="12.75" customHeight="1" x14ac:dyDescent="0.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spans="1:22" ht="12.75" customHeight="1" x14ac:dyDescent="0.2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spans="1:22" ht="12.75" customHeight="1" x14ac:dyDescent="0.2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spans="1:22" ht="12.75" customHeight="1" x14ac:dyDescent="0.2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spans="1:22" ht="12.75" customHeight="1" x14ac:dyDescent="0.2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spans="1:22" ht="12.75" customHeight="1" x14ac:dyDescent="0.2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spans="1:22" ht="12.75" customHeight="1" x14ac:dyDescent="0.2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spans="1:22" ht="12.75" customHeight="1" x14ac:dyDescent="0.2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spans="1:22" ht="12.75" customHeight="1" x14ac:dyDescent="0.2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spans="1:22" ht="12.75" customHeight="1" x14ac:dyDescent="0.2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spans="1:22" ht="12.75" customHeight="1" x14ac:dyDescent="0.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spans="1:22" ht="12.75" customHeight="1" x14ac:dyDescent="0.2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spans="1:22" ht="12.75" customHeight="1" x14ac:dyDescent="0.2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spans="1:22" ht="12.75" customHeight="1" x14ac:dyDescent="0.2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spans="1:22" ht="12.75" customHeight="1" x14ac:dyDescent="0.2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spans="1:22" ht="12.75" customHeight="1" x14ac:dyDescent="0.2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spans="1:22" ht="12.75" customHeight="1" x14ac:dyDescent="0.2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spans="1:22" ht="12.75" customHeight="1" x14ac:dyDescent="0.2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spans="1:22" ht="12.75" customHeight="1" x14ac:dyDescent="0.2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spans="1:22" ht="12.75" customHeight="1" x14ac:dyDescent="0.2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spans="1:22" ht="12.75" customHeight="1" x14ac:dyDescent="0.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spans="1:22" ht="12.75" customHeight="1" x14ac:dyDescent="0.2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spans="1:22" ht="12.75" customHeight="1" x14ac:dyDescent="0.2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spans="1:22" ht="12.75" customHeight="1" x14ac:dyDescent="0.2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spans="1:22" ht="12.75" customHeight="1" x14ac:dyDescent="0.2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spans="1:22" ht="12.75" customHeight="1" x14ac:dyDescent="0.2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spans="1:22" ht="12.75" customHeight="1" x14ac:dyDescent="0.2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spans="1:22" ht="12.75" customHeight="1" x14ac:dyDescent="0.2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spans="1:22" ht="12.75" customHeight="1" x14ac:dyDescent="0.2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spans="1:22" ht="12.75" customHeight="1" x14ac:dyDescent="0.2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spans="1:22" ht="12.75" customHeight="1" x14ac:dyDescent="0.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spans="1:22" ht="12.75" customHeight="1" x14ac:dyDescent="0.2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spans="1:22" ht="12.75" customHeight="1" x14ac:dyDescent="0.2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spans="1:22" ht="12.75" customHeight="1" x14ac:dyDescent="0.2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spans="1:22" ht="12.75" customHeight="1" x14ac:dyDescent="0.2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spans="1:22" ht="12.75" customHeight="1" x14ac:dyDescent="0.2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spans="1:22" ht="12.75" customHeight="1" x14ac:dyDescent="0.2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spans="1:22" ht="12.75" customHeight="1" x14ac:dyDescent="0.2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spans="1:22" ht="12.75" customHeight="1" x14ac:dyDescent="0.2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spans="1:22" ht="12.75" customHeight="1" x14ac:dyDescent="0.2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spans="1:22" ht="12.75" customHeight="1" x14ac:dyDescent="0.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spans="1:22" ht="12.75" customHeight="1" x14ac:dyDescent="0.2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spans="1:22" ht="12.75" customHeight="1" x14ac:dyDescent="0.2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spans="1:22" ht="12.75" customHeight="1" x14ac:dyDescent="0.2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spans="1:22" ht="12.75" customHeight="1" x14ac:dyDescent="0.2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spans="1:22" ht="12.75" customHeight="1" x14ac:dyDescent="0.2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spans="1:22" ht="12.75" customHeight="1" x14ac:dyDescent="0.2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spans="1:22" ht="12.75" customHeight="1" x14ac:dyDescent="0.2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spans="1:22" ht="12.75" customHeight="1" x14ac:dyDescent="0.2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spans="1:22" ht="12.75" customHeight="1" x14ac:dyDescent="0.2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spans="1:22" ht="12.75" customHeight="1" x14ac:dyDescent="0.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spans="1:22" ht="12.75" customHeight="1" x14ac:dyDescent="0.2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spans="1:22" ht="12.75" customHeight="1" x14ac:dyDescent="0.2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spans="1:22" ht="12.75" customHeight="1" x14ac:dyDescent="0.2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spans="1:22" ht="12.75" customHeight="1" x14ac:dyDescent="0.2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spans="1:22" ht="12.75" customHeight="1" x14ac:dyDescent="0.2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spans="1:22" ht="12.75" customHeight="1" x14ac:dyDescent="0.2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spans="1:22" ht="12.75" customHeight="1" x14ac:dyDescent="0.2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spans="1:22" ht="12.75" customHeight="1" x14ac:dyDescent="0.2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spans="1:22" ht="12.75" customHeight="1" x14ac:dyDescent="0.2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spans="1:22" ht="12.75" customHeight="1" x14ac:dyDescent="0.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spans="1:22" ht="12.75" customHeight="1" x14ac:dyDescent="0.2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spans="1:22" ht="12.75" customHeight="1" x14ac:dyDescent="0.2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spans="1:22" ht="12.75" customHeight="1" x14ac:dyDescent="0.2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spans="1:22" ht="12.75" customHeight="1" x14ac:dyDescent="0.2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spans="1:22" ht="12.75" customHeight="1" x14ac:dyDescent="0.2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spans="1:22" ht="12.75" customHeight="1" x14ac:dyDescent="0.2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spans="1:22" ht="12.75" customHeight="1" x14ac:dyDescent="0.2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spans="1:22" ht="12.75" customHeight="1" x14ac:dyDescent="0.2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spans="1:22" ht="12.75" customHeight="1" x14ac:dyDescent="0.2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spans="1:22" ht="12.75" customHeight="1" x14ac:dyDescent="0.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spans="1:22" ht="12.75" customHeight="1" x14ac:dyDescent="0.2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spans="1:22" ht="12.75" customHeight="1" x14ac:dyDescent="0.2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spans="1:22" ht="12.75" customHeight="1" x14ac:dyDescent="0.2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spans="1:22" ht="12.75" customHeight="1" x14ac:dyDescent="0.2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spans="1:22" ht="12.75" customHeight="1" x14ac:dyDescent="0.2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spans="1:22" ht="12.75" customHeight="1" x14ac:dyDescent="0.2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spans="1:22" ht="12.75" customHeight="1" x14ac:dyDescent="0.2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spans="1:22" ht="12.75" customHeight="1" x14ac:dyDescent="0.2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spans="1:22" ht="12.75" customHeight="1" x14ac:dyDescent="0.2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spans="1:22" ht="12.75" customHeight="1" x14ac:dyDescent="0.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spans="1:22" ht="12.75" customHeight="1" x14ac:dyDescent="0.2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spans="1:22" ht="12.75" customHeight="1" x14ac:dyDescent="0.2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spans="1:22" ht="12.75" customHeight="1" x14ac:dyDescent="0.2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spans="1:22" ht="12.75" customHeight="1" x14ac:dyDescent="0.2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spans="1:22" ht="12.75" customHeight="1" x14ac:dyDescent="0.2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spans="1:22" ht="12.75" customHeight="1" x14ac:dyDescent="0.2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spans="1:22" ht="12.75" customHeight="1" x14ac:dyDescent="0.2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spans="1:22" ht="12.75" customHeight="1" x14ac:dyDescent="0.2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spans="1:22" ht="12.75" customHeight="1" x14ac:dyDescent="0.2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spans="1:22" ht="12.75" customHeight="1" x14ac:dyDescent="0.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spans="1:22" ht="12.75" customHeight="1" x14ac:dyDescent="0.2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spans="1:22" ht="12.75" customHeight="1" x14ac:dyDescent="0.2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spans="1:22" ht="12.75" customHeight="1" x14ac:dyDescent="0.2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spans="1:22" ht="12.75" customHeight="1" x14ac:dyDescent="0.2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spans="1:22" ht="12.75" customHeight="1" x14ac:dyDescent="0.2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spans="1:22" ht="12.75" customHeight="1" x14ac:dyDescent="0.2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spans="1:22" ht="12.75" customHeight="1" x14ac:dyDescent="0.2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spans="1:22" ht="12.75" customHeight="1" x14ac:dyDescent="0.2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spans="1:22" ht="12.75" customHeight="1" x14ac:dyDescent="0.2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spans="1:22" ht="12.75" customHeight="1" x14ac:dyDescent="0.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spans="1:22" ht="12.75" customHeight="1" x14ac:dyDescent="0.2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spans="1:22" ht="12.75" customHeight="1" x14ac:dyDescent="0.2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spans="1:22" ht="12.75" customHeight="1" x14ac:dyDescent="0.2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spans="1:22" ht="12.75" customHeight="1" x14ac:dyDescent="0.2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spans="1:22" ht="12.75" customHeight="1" x14ac:dyDescent="0.2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spans="1:22" ht="12.75" customHeight="1" x14ac:dyDescent="0.2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spans="1:22" ht="12.75" customHeight="1" x14ac:dyDescent="0.2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spans="1:22" ht="12.75" customHeight="1" x14ac:dyDescent="0.2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spans="1:22" ht="12.75" customHeight="1" x14ac:dyDescent="0.2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spans="1:22" ht="12.75" customHeight="1" x14ac:dyDescent="0.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spans="1:22" ht="12.75" customHeight="1" x14ac:dyDescent="0.2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spans="1:22" ht="12.75" customHeight="1" x14ac:dyDescent="0.2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spans="1:22" ht="12.75" customHeight="1" x14ac:dyDescent="0.2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spans="1:22" ht="12.75" customHeight="1" x14ac:dyDescent="0.2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spans="1:22" ht="12.75" customHeight="1" x14ac:dyDescent="0.2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spans="1:22" ht="12.75" customHeight="1" x14ac:dyDescent="0.2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spans="1:22" ht="12.75" customHeight="1" x14ac:dyDescent="0.2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spans="1:22" ht="12.75" customHeight="1" x14ac:dyDescent="0.2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spans="1:22" ht="12.75" customHeight="1" x14ac:dyDescent="0.2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spans="1:22" ht="12.75" customHeight="1" x14ac:dyDescent="0.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spans="1:22" ht="12.75" customHeight="1" x14ac:dyDescent="0.2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spans="1:22" ht="12.75" customHeight="1" x14ac:dyDescent="0.2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spans="1:22" ht="12.75" customHeight="1" x14ac:dyDescent="0.2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spans="1:22" ht="12.75" customHeight="1" x14ac:dyDescent="0.2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spans="1:22" ht="12.75" customHeight="1" x14ac:dyDescent="0.2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spans="1:22" ht="12.75" customHeight="1" x14ac:dyDescent="0.2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spans="1:22" ht="12.75" customHeight="1" x14ac:dyDescent="0.2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spans="1:22" ht="12.75" customHeight="1" x14ac:dyDescent="0.2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spans="1:22" ht="12.75" customHeight="1" x14ac:dyDescent="0.2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spans="1:22" ht="12.75" customHeight="1" x14ac:dyDescent="0.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spans="1:22" ht="12.75" customHeight="1" x14ac:dyDescent="0.2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spans="1:22" ht="12.75" customHeight="1" x14ac:dyDescent="0.2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spans="1:22" ht="12.75" customHeight="1" x14ac:dyDescent="0.2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spans="1:22" ht="12.75" customHeight="1" x14ac:dyDescent="0.2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spans="1:22" ht="12.75" customHeight="1" x14ac:dyDescent="0.2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spans="1:22" ht="12.75" customHeight="1" x14ac:dyDescent="0.2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spans="1:22" ht="12.75" customHeight="1" x14ac:dyDescent="0.2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spans="1:22" ht="12.75" customHeight="1" x14ac:dyDescent="0.2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spans="1:22" ht="12.75" customHeight="1" x14ac:dyDescent="0.2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spans="1:22" ht="12.75" customHeight="1" x14ac:dyDescent="0.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spans="1:22" ht="12.75" customHeight="1" x14ac:dyDescent="0.2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spans="1:22" ht="12.75" customHeight="1" x14ac:dyDescent="0.2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spans="1:22" ht="12.75" customHeight="1" x14ac:dyDescent="0.2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spans="1:22" ht="12.75" customHeight="1" x14ac:dyDescent="0.2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spans="1:22" ht="12.75" customHeight="1" x14ac:dyDescent="0.2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spans="1:22" ht="12.75" customHeight="1" x14ac:dyDescent="0.2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spans="1:22" ht="12.75" customHeight="1" x14ac:dyDescent="0.2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spans="1:22" ht="12.75" customHeight="1" x14ac:dyDescent="0.2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spans="1:22" ht="12.75" customHeight="1" x14ac:dyDescent="0.2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spans="1:22" ht="12.75" customHeight="1" x14ac:dyDescent="0.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spans="1:22" ht="12.75" customHeight="1" x14ac:dyDescent="0.2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spans="1:22" ht="12.75" customHeight="1" x14ac:dyDescent="0.2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spans="1:22" ht="12.75" customHeight="1" x14ac:dyDescent="0.2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spans="1:22" ht="12.75" customHeight="1" x14ac:dyDescent="0.2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spans="1:22" ht="12.75" customHeight="1" x14ac:dyDescent="0.2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spans="1:22" ht="12.75" customHeight="1" x14ac:dyDescent="0.2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spans="1:22" ht="12.75" customHeight="1" x14ac:dyDescent="0.2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spans="1:22" ht="12.75" customHeight="1" x14ac:dyDescent="0.2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spans="1:22" ht="12.75" customHeight="1" x14ac:dyDescent="0.2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spans="1:22" ht="12.75" customHeight="1" x14ac:dyDescent="0.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spans="1:22" ht="12.75" customHeight="1" x14ac:dyDescent="0.2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spans="1:22" ht="12.75" customHeight="1" x14ac:dyDescent="0.2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spans="1:22" ht="12.75" customHeight="1" x14ac:dyDescent="0.2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spans="1:22" ht="12.75" customHeight="1" x14ac:dyDescent="0.2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spans="1:22" ht="12.75" customHeight="1" x14ac:dyDescent="0.2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spans="1:22" ht="12.75" customHeight="1" x14ac:dyDescent="0.2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spans="1:22" ht="12.75" customHeight="1" x14ac:dyDescent="0.2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spans="1:22" ht="12.75" customHeight="1" x14ac:dyDescent="0.2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spans="1:22" ht="12.75" customHeight="1" x14ac:dyDescent="0.2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spans="1:22" ht="12.75" customHeight="1" x14ac:dyDescent="0.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spans="1:22" ht="12.75" customHeight="1" x14ac:dyDescent="0.2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spans="1:22" ht="12.75" customHeight="1" x14ac:dyDescent="0.2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spans="1:22" ht="12.75" customHeight="1" x14ac:dyDescent="0.2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spans="1:22" ht="12.75" customHeight="1" x14ac:dyDescent="0.2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spans="1:22" ht="12.75" customHeight="1" x14ac:dyDescent="0.2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spans="1:22" ht="12.75" customHeight="1" x14ac:dyDescent="0.2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spans="1:22" ht="12.75" customHeight="1" x14ac:dyDescent="0.2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spans="1:22" ht="12.75" customHeight="1" x14ac:dyDescent="0.2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spans="1:22" ht="12.75" customHeight="1" x14ac:dyDescent="0.2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spans="1:22" ht="12.75" customHeight="1" x14ac:dyDescent="0.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spans="1:22" ht="12.75" customHeight="1" x14ac:dyDescent="0.2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spans="1:22" ht="12.75" customHeight="1" x14ac:dyDescent="0.2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spans="1:22" ht="12.75" customHeight="1" x14ac:dyDescent="0.2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spans="1:22" ht="12.75" customHeight="1" x14ac:dyDescent="0.2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spans="1:22" ht="12.75" customHeight="1" x14ac:dyDescent="0.2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spans="1:22" ht="12.75" customHeight="1" x14ac:dyDescent="0.2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spans="1:22" ht="12.75" customHeight="1" x14ac:dyDescent="0.2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spans="1:22" ht="12.75" customHeight="1" x14ac:dyDescent="0.2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spans="1:22" ht="12.75" customHeight="1" x14ac:dyDescent="0.2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spans="1:22" ht="12.75" customHeight="1" x14ac:dyDescent="0.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spans="1:22" ht="12.75" customHeight="1" x14ac:dyDescent="0.2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spans="1:22" ht="12.75" customHeight="1" x14ac:dyDescent="0.2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spans="1:22" ht="12.75" customHeight="1" x14ac:dyDescent="0.2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spans="1:22" ht="12.75" customHeight="1" x14ac:dyDescent="0.2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spans="1:22" ht="12.75" customHeight="1" x14ac:dyDescent="0.2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spans="1:22" ht="12.75" customHeight="1" x14ac:dyDescent="0.2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spans="1:22" ht="12.75" customHeight="1" x14ac:dyDescent="0.2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spans="1:22" ht="12.75" customHeight="1" x14ac:dyDescent="0.2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spans="1:22" ht="12.75" customHeight="1" x14ac:dyDescent="0.2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spans="1:22" ht="12.75" customHeight="1" x14ac:dyDescent="0.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spans="1:22" ht="12.75" customHeight="1" x14ac:dyDescent="0.2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spans="1:22" ht="12.75" customHeight="1" x14ac:dyDescent="0.2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spans="1:22" ht="12.75" customHeight="1" x14ac:dyDescent="0.2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spans="1:22" ht="12.75" customHeight="1" x14ac:dyDescent="0.2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spans="1:22" ht="12.75" customHeight="1" x14ac:dyDescent="0.2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spans="1:22" ht="12.75" customHeight="1" x14ac:dyDescent="0.2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spans="1:22" ht="12.75" customHeight="1" x14ac:dyDescent="0.2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spans="1:22" ht="12.75" customHeight="1" x14ac:dyDescent="0.2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spans="1:22" ht="12.75" customHeight="1" x14ac:dyDescent="0.2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spans="1:22" ht="12.75" customHeight="1" x14ac:dyDescent="0.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spans="1:22" ht="12.75" customHeight="1" x14ac:dyDescent="0.2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spans="1:22" ht="12.75" customHeight="1" x14ac:dyDescent="0.2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spans="1:22" ht="12.75" customHeight="1" x14ac:dyDescent="0.2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spans="1:22" ht="12.75" customHeight="1" x14ac:dyDescent="0.2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spans="1:22" ht="12.75" customHeight="1" x14ac:dyDescent="0.2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spans="1:22" ht="12.75" customHeight="1" x14ac:dyDescent="0.2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spans="1:22" ht="12.75" customHeight="1" x14ac:dyDescent="0.2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spans="1:22" ht="12.75" customHeight="1" x14ac:dyDescent="0.2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spans="1:22" ht="12.75" customHeight="1" x14ac:dyDescent="0.2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spans="1:22" ht="12.75" customHeight="1" x14ac:dyDescent="0.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spans="1:22" ht="12.75" customHeight="1" x14ac:dyDescent="0.2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spans="1:22" ht="12.75" customHeight="1" x14ac:dyDescent="0.2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spans="1:22" ht="12.75" customHeight="1" x14ac:dyDescent="0.2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spans="1:22" ht="12.75" customHeight="1" x14ac:dyDescent="0.2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spans="1:22" ht="12.75" customHeight="1" x14ac:dyDescent="0.2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spans="1:22" ht="12.75" customHeight="1" x14ac:dyDescent="0.2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spans="1:22" ht="12.75" customHeight="1" x14ac:dyDescent="0.2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spans="1:22" ht="12.75" customHeight="1" x14ac:dyDescent="0.2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spans="1:22" ht="12.75" customHeight="1" x14ac:dyDescent="0.2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spans="1:22" ht="12.75" customHeight="1" x14ac:dyDescent="0.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spans="1:22" ht="12.75" customHeight="1" x14ac:dyDescent="0.2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spans="1:22" ht="12.75" customHeight="1" x14ac:dyDescent="0.2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spans="1:22" ht="12.75" customHeight="1" x14ac:dyDescent="0.2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spans="1:22" ht="12.75" customHeight="1" x14ac:dyDescent="0.2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spans="1:22" ht="12.75" customHeight="1" x14ac:dyDescent="0.2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spans="1:22" ht="12.75" customHeight="1" x14ac:dyDescent="0.2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spans="1:22" ht="12.75" customHeight="1" x14ac:dyDescent="0.2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spans="1:22" ht="12.75" customHeight="1" x14ac:dyDescent="0.2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spans="1:22" ht="12.75" customHeight="1" x14ac:dyDescent="0.2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spans="1:22" ht="12.75" customHeight="1" x14ac:dyDescent="0.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spans="1:22" ht="12.75" customHeight="1" x14ac:dyDescent="0.2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spans="1:22" ht="12.75" customHeight="1" x14ac:dyDescent="0.2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spans="1:22" ht="12.75" customHeight="1" x14ac:dyDescent="0.2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spans="1:22" ht="12.75" customHeight="1" x14ac:dyDescent="0.2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spans="1:22" ht="12.75" customHeight="1" x14ac:dyDescent="0.2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spans="1:22" ht="12.75" customHeight="1" x14ac:dyDescent="0.2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spans="1:22" ht="12.75" customHeight="1" x14ac:dyDescent="0.2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spans="1:22" ht="12.75" customHeight="1" x14ac:dyDescent="0.2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spans="1:22" ht="12.75" customHeight="1" x14ac:dyDescent="0.2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spans="1:22" ht="12.75" customHeight="1" x14ac:dyDescent="0.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spans="1:22" ht="12.75" customHeight="1" x14ac:dyDescent="0.2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spans="1:22" ht="12.75" customHeight="1" x14ac:dyDescent="0.2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spans="1:22" ht="12.75" customHeight="1" x14ac:dyDescent="0.2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spans="1:22" ht="12.75" customHeight="1" x14ac:dyDescent="0.2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spans="1:22" ht="12.75" customHeight="1" x14ac:dyDescent="0.2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spans="1:22" ht="12.75" customHeight="1" x14ac:dyDescent="0.2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spans="1:22" ht="12.75" customHeight="1" x14ac:dyDescent="0.2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spans="1:22" ht="12.75" customHeight="1" x14ac:dyDescent="0.2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spans="1:22" ht="12.75" customHeight="1" x14ac:dyDescent="0.2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spans="1:22" ht="12.75" customHeight="1" x14ac:dyDescent="0.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spans="1:22" ht="12.75" customHeight="1" x14ac:dyDescent="0.2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spans="1:22" ht="12.75" customHeight="1" x14ac:dyDescent="0.2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spans="1:22" ht="12.75" customHeight="1" x14ac:dyDescent="0.2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spans="1:22" ht="12.75" customHeight="1" x14ac:dyDescent="0.2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spans="1:22" ht="12.75" customHeight="1" x14ac:dyDescent="0.2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spans="1:22" ht="12.75" customHeight="1" x14ac:dyDescent="0.2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spans="1:22" ht="12.75" customHeight="1" x14ac:dyDescent="0.2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spans="1:22" ht="12.75" customHeight="1" x14ac:dyDescent="0.2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spans="1:22" ht="12.75" customHeight="1" x14ac:dyDescent="0.2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spans="1:22" ht="12.75" customHeight="1" x14ac:dyDescent="0.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spans="1:22" ht="12.75" customHeight="1" x14ac:dyDescent="0.2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spans="1:22" ht="12.75" customHeight="1" x14ac:dyDescent="0.2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spans="1:22" ht="12.75" customHeight="1" x14ac:dyDescent="0.2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spans="1:22" ht="12.75" customHeight="1" x14ac:dyDescent="0.2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spans="1:22" ht="12.75" customHeight="1" x14ac:dyDescent="0.2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spans="1:22" ht="12.75" customHeight="1" x14ac:dyDescent="0.2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spans="1:22" ht="12.75" customHeight="1" x14ac:dyDescent="0.2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spans="1:22" ht="12.75" customHeight="1" x14ac:dyDescent="0.2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spans="1:22" ht="12.75" customHeight="1" x14ac:dyDescent="0.2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spans="1:22" ht="12.75" customHeight="1" x14ac:dyDescent="0.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spans="1:22" ht="12.75" customHeight="1" x14ac:dyDescent="0.2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spans="1:22" ht="12.75" customHeight="1" x14ac:dyDescent="0.2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spans="1:22" ht="12.75" customHeight="1" x14ac:dyDescent="0.2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spans="1:22" ht="12.75" customHeight="1" x14ac:dyDescent="0.2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spans="1:22" ht="12.75" customHeight="1" x14ac:dyDescent="0.2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spans="1:22" ht="12.75" customHeight="1" x14ac:dyDescent="0.2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spans="1:22" ht="12.75" customHeight="1" x14ac:dyDescent="0.2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spans="1:22" ht="12.75" customHeight="1" x14ac:dyDescent="0.2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spans="1:22" ht="12.75" customHeight="1" x14ac:dyDescent="0.2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spans="1:22" ht="12.75" customHeight="1" x14ac:dyDescent="0.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spans="1:22" ht="12.75" customHeight="1" x14ac:dyDescent="0.2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spans="1:22" ht="12.75" customHeight="1" x14ac:dyDescent="0.2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spans="1:22" ht="12.75" customHeight="1" x14ac:dyDescent="0.2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spans="1:22" ht="12.75" customHeight="1" x14ac:dyDescent="0.2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spans="1:22" ht="12.75" customHeight="1" x14ac:dyDescent="0.2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spans="1:22" ht="12.75" customHeight="1" x14ac:dyDescent="0.2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spans="1:22" ht="12.75" customHeight="1" x14ac:dyDescent="0.2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spans="1:22" ht="12.75" customHeight="1" x14ac:dyDescent="0.2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spans="1:22" ht="12.75" customHeight="1" x14ac:dyDescent="0.2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spans="1:22" ht="12.75" customHeight="1" x14ac:dyDescent="0.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spans="1:22" ht="12.75" customHeight="1" x14ac:dyDescent="0.2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spans="1:22" ht="12.75" customHeight="1" x14ac:dyDescent="0.2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spans="1:22" ht="12.75" customHeight="1" x14ac:dyDescent="0.2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spans="1:22" ht="12.75" customHeight="1" x14ac:dyDescent="0.2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spans="1:22" ht="12.75" customHeight="1" x14ac:dyDescent="0.2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spans="1:22" ht="12.75" customHeight="1" x14ac:dyDescent="0.2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spans="1:22" ht="12.75" customHeight="1" x14ac:dyDescent="0.2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spans="1:22" ht="12.75" customHeight="1" x14ac:dyDescent="0.2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spans="1:22" ht="12.75" customHeight="1" x14ac:dyDescent="0.2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spans="1:22" ht="12.75" customHeight="1" x14ac:dyDescent="0.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spans="1:22" ht="12.75" customHeight="1" x14ac:dyDescent="0.2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spans="1:22" ht="12.75" customHeight="1" x14ac:dyDescent="0.2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spans="1:22" ht="12.75" customHeight="1" x14ac:dyDescent="0.2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spans="1:22" ht="12.75" customHeight="1" x14ac:dyDescent="0.2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spans="1:22" ht="12.75" customHeight="1" x14ac:dyDescent="0.2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spans="1:22" ht="12.75" customHeight="1" x14ac:dyDescent="0.2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spans="1:22" ht="12.75" customHeight="1" x14ac:dyDescent="0.2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spans="1:22" ht="12.75" customHeight="1" x14ac:dyDescent="0.2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spans="1:22" ht="12.75" customHeight="1" x14ac:dyDescent="0.2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spans="1:22" ht="12.75" customHeight="1" x14ac:dyDescent="0.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spans="1:22" ht="12.75" customHeight="1" x14ac:dyDescent="0.2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spans="1:22" ht="12.75" customHeight="1" x14ac:dyDescent="0.2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spans="1:22" ht="12.75" customHeight="1" x14ac:dyDescent="0.2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spans="1:22" ht="12.75" customHeight="1" x14ac:dyDescent="0.2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spans="1:22" ht="12.75" customHeight="1" x14ac:dyDescent="0.2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spans="1:22" ht="12.75" customHeight="1" x14ac:dyDescent="0.2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spans="1:22" ht="12.75" customHeight="1" x14ac:dyDescent="0.2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spans="1:22" ht="12.75" customHeight="1" x14ac:dyDescent="0.2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spans="1:22" ht="12.75" customHeight="1" x14ac:dyDescent="0.2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spans="1:22" ht="12.75" customHeight="1" x14ac:dyDescent="0.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spans="1:22" ht="12.75" customHeight="1" x14ac:dyDescent="0.2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spans="1:22" ht="12.75" customHeight="1" x14ac:dyDescent="0.2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spans="1:22" ht="12.75" customHeight="1" x14ac:dyDescent="0.2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spans="1:22" ht="12.75" customHeight="1" x14ac:dyDescent="0.2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spans="1:22" ht="12.75" customHeight="1" x14ac:dyDescent="0.2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spans="1:22" ht="12.75" customHeight="1" x14ac:dyDescent="0.2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spans="1:22" ht="12.75" customHeight="1" x14ac:dyDescent="0.2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spans="1:22" ht="12.75" customHeight="1" x14ac:dyDescent="0.2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spans="1:22" ht="12.75" customHeight="1" x14ac:dyDescent="0.2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spans="1:22" ht="12.75" customHeight="1" x14ac:dyDescent="0.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spans="1:22" ht="12.75" customHeight="1" x14ac:dyDescent="0.2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spans="1:22" ht="12.75" customHeight="1" x14ac:dyDescent="0.2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spans="1:22" ht="12.75" customHeight="1" x14ac:dyDescent="0.2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spans="1:22" ht="12.75" customHeight="1" x14ac:dyDescent="0.2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spans="1:22" ht="12.75" customHeight="1" x14ac:dyDescent="0.2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spans="1:22" ht="12.75" customHeight="1" x14ac:dyDescent="0.2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spans="1:22" ht="12.75" customHeight="1" x14ac:dyDescent="0.2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spans="1:22" ht="12.75" customHeight="1" x14ac:dyDescent="0.2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spans="1:22" ht="12.75" customHeight="1" x14ac:dyDescent="0.2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spans="1:22" ht="12.75" customHeight="1" x14ac:dyDescent="0.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spans="1:22" ht="12.75" customHeight="1" x14ac:dyDescent="0.2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spans="1:22" ht="12.75" customHeight="1" x14ac:dyDescent="0.2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spans="1:22" ht="12.75" customHeight="1" x14ac:dyDescent="0.2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spans="1:22" ht="12.75" customHeight="1" x14ac:dyDescent="0.2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spans="1:22" ht="12.75" customHeight="1" x14ac:dyDescent="0.2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spans="1:22" ht="12.75" customHeight="1" x14ac:dyDescent="0.2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spans="1:22" ht="12.75" customHeight="1" x14ac:dyDescent="0.2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spans="1:22" ht="12.75" customHeight="1" x14ac:dyDescent="0.2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spans="1:22" ht="12.75" customHeight="1" x14ac:dyDescent="0.2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spans="1:22" ht="12.75" customHeight="1" x14ac:dyDescent="0.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spans="1:22" ht="12.75" customHeight="1" x14ac:dyDescent="0.2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spans="1:22" ht="12.75" customHeight="1" x14ac:dyDescent="0.2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spans="1:22" ht="12.75" customHeight="1" x14ac:dyDescent="0.2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spans="1:22" ht="12.75" customHeight="1" x14ac:dyDescent="0.2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spans="1:22" ht="12.75" customHeight="1" x14ac:dyDescent="0.2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spans="1:22" ht="12.75" customHeight="1" x14ac:dyDescent="0.2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spans="1:22" ht="12.75" customHeight="1" x14ac:dyDescent="0.2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spans="1:22" ht="12.75" customHeight="1" x14ac:dyDescent="0.2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spans="1:22" ht="12.75" customHeight="1" x14ac:dyDescent="0.2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spans="1:22" ht="12.75" customHeight="1" x14ac:dyDescent="0.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spans="1:22" ht="12.75" customHeight="1" x14ac:dyDescent="0.2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spans="1:22" ht="12.75" customHeight="1" x14ac:dyDescent="0.2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spans="1:22" ht="12.75" customHeight="1" x14ac:dyDescent="0.2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spans="1:22" ht="12.75" customHeight="1" x14ac:dyDescent="0.2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spans="1:22" ht="12.75" customHeight="1" x14ac:dyDescent="0.2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spans="1:22" ht="12.75" customHeight="1" x14ac:dyDescent="0.2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spans="1:22" ht="12.75" customHeight="1" x14ac:dyDescent="0.2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spans="1:22" ht="12.75" customHeight="1" x14ac:dyDescent="0.2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spans="1:22" ht="12.75" customHeight="1" x14ac:dyDescent="0.2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spans="1:22" ht="12.75" customHeight="1" x14ac:dyDescent="0.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spans="1:22" ht="12.75" customHeight="1" x14ac:dyDescent="0.2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spans="1:22" ht="12.75" customHeight="1" x14ac:dyDescent="0.2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spans="1:22" ht="12.75" customHeight="1" x14ac:dyDescent="0.2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spans="1:22" ht="12.75" customHeight="1" x14ac:dyDescent="0.2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spans="1:22" ht="12.75" customHeight="1" x14ac:dyDescent="0.2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spans="1:22" ht="12.75" customHeight="1" x14ac:dyDescent="0.2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spans="1:22" ht="12.75" customHeight="1" x14ac:dyDescent="0.2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spans="1:22" ht="12.75" customHeight="1" x14ac:dyDescent="0.2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spans="1:22" ht="12.75" customHeight="1" x14ac:dyDescent="0.2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spans="1:22" ht="12.75" customHeight="1" x14ac:dyDescent="0.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spans="1:22" ht="12.75" customHeight="1" x14ac:dyDescent="0.2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spans="1:22" ht="12.75" customHeight="1" x14ac:dyDescent="0.2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spans="1:22" ht="12.75" customHeight="1" x14ac:dyDescent="0.2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spans="1:22" ht="12.75" customHeight="1" x14ac:dyDescent="0.2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spans="1:22" ht="12.75" customHeight="1" x14ac:dyDescent="0.2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spans="1:22" ht="12.75" customHeight="1" x14ac:dyDescent="0.2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spans="1:22" ht="12.75" customHeight="1" x14ac:dyDescent="0.2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spans="1:22" ht="12.75" customHeight="1" x14ac:dyDescent="0.2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spans="1:22" ht="12.75" customHeight="1" x14ac:dyDescent="0.2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spans="1:22" ht="12.75" customHeight="1" x14ac:dyDescent="0.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spans="1:22" ht="12.75" customHeight="1" x14ac:dyDescent="0.2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spans="1:22" ht="12.75" customHeight="1" x14ac:dyDescent="0.2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spans="1:22" ht="12.75" customHeight="1" x14ac:dyDescent="0.2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spans="1:22" ht="12.75" customHeight="1" x14ac:dyDescent="0.2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spans="1:22" ht="12.75" customHeight="1" x14ac:dyDescent="0.2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spans="1:22" ht="12.75" customHeight="1" x14ac:dyDescent="0.2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spans="1:22" ht="12.75" customHeight="1" x14ac:dyDescent="0.2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spans="1:22" ht="12.75" customHeight="1" x14ac:dyDescent="0.2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spans="1:22" ht="12.75" customHeight="1" x14ac:dyDescent="0.2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spans="1:22" ht="12.75" customHeight="1" x14ac:dyDescent="0.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spans="1:22" ht="12.75" customHeight="1" x14ac:dyDescent="0.2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spans="1:22" ht="12.75" customHeight="1" x14ac:dyDescent="0.2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spans="1:22" ht="12.75" customHeight="1" x14ac:dyDescent="0.2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spans="1:22" ht="12.75" customHeight="1" x14ac:dyDescent="0.2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spans="1:22" ht="12.75" customHeight="1" x14ac:dyDescent="0.2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spans="1:22" ht="12.75" customHeight="1" x14ac:dyDescent="0.2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spans="1:22" ht="12.75" customHeight="1" x14ac:dyDescent="0.2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spans="1:22" ht="12.75" customHeight="1" x14ac:dyDescent="0.2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spans="1:22" ht="12.75" customHeight="1" x14ac:dyDescent="0.2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spans="1:22" ht="12.75" customHeight="1" x14ac:dyDescent="0.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spans="1:22" ht="12.75" customHeight="1" x14ac:dyDescent="0.2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spans="1:22" ht="12.75" customHeight="1" x14ac:dyDescent="0.2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spans="1:22" ht="12.75" customHeight="1" x14ac:dyDescent="0.2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spans="1:22" ht="12.75" customHeight="1" x14ac:dyDescent="0.2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spans="1:22" ht="12.75" customHeight="1" x14ac:dyDescent="0.2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spans="1:22" ht="12.75" customHeight="1" x14ac:dyDescent="0.2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spans="1:22" ht="12.75" customHeight="1" x14ac:dyDescent="0.2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spans="1:22" ht="12.75" customHeight="1" x14ac:dyDescent="0.2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spans="1:22" ht="12.75" customHeight="1" x14ac:dyDescent="0.2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spans="1:22" ht="12.75" customHeight="1" x14ac:dyDescent="0.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spans="1:22" ht="12.75" customHeight="1" x14ac:dyDescent="0.2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spans="1:22" ht="12.75" customHeight="1" x14ac:dyDescent="0.2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spans="1:22" ht="12.75" customHeight="1" x14ac:dyDescent="0.2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spans="1:22" ht="12.75" customHeight="1" x14ac:dyDescent="0.2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spans="1:22" ht="12.75" customHeight="1" x14ac:dyDescent="0.2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spans="1:22" ht="12.75" customHeight="1" x14ac:dyDescent="0.2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spans="1:22" ht="12.75" customHeight="1" x14ac:dyDescent="0.2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spans="1:22" ht="12.75" customHeight="1" x14ac:dyDescent="0.2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spans="1:22" ht="12.75" customHeight="1" x14ac:dyDescent="0.2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spans="1:22" ht="12.75" customHeight="1" x14ac:dyDescent="0.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spans="1:22" ht="12.75" customHeight="1" x14ac:dyDescent="0.2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spans="1:22" ht="12.75" customHeight="1" x14ac:dyDescent="0.2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spans="1:22" ht="12.75" customHeight="1" x14ac:dyDescent="0.2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spans="1:22" ht="12.75" customHeight="1" x14ac:dyDescent="0.2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spans="1:22" ht="12.75" customHeight="1" x14ac:dyDescent="0.2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spans="1:22" ht="12.75" customHeight="1" x14ac:dyDescent="0.2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spans="1:22" ht="12.75" customHeight="1" x14ac:dyDescent="0.2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spans="1:22" ht="12.75" customHeight="1" x14ac:dyDescent="0.2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spans="1:22" ht="12.75" customHeight="1" x14ac:dyDescent="0.2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spans="1:22" ht="12.75" customHeight="1" x14ac:dyDescent="0.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spans="1:22" ht="12.75" customHeight="1" x14ac:dyDescent="0.2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spans="1:22" ht="12.75" customHeight="1" x14ac:dyDescent="0.2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spans="1:22" ht="12.75" customHeight="1" x14ac:dyDescent="0.2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spans="1:22" ht="12.75" customHeight="1" x14ac:dyDescent="0.2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spans="1:22" ht="12.75" customHeight="1" x14ac:dyDescent="0.2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spans="1:22" ht="12.75" customHeight="1" x14ac:dyDescent="0.2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spans="1:22" ht="12.75" customHeight="1" x14ac:dyDescent="0.2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spans="1:22" ht="12.75" customHeight="1" x14ac:dyDescent="0.2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spans="1:22" ht="12.75" customHeight="1" x14ac:dyDescent="0.2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spans="1:22" ht="12.75" customHeight="1" x14ac:dyDescent="0.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spans="1:22" ht="12.75" customHeight="1" x14ac:dyDescent="0.2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spans="1:22" ht="12.75" customHeight="1" x14ac:dyDescent="0.2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spans="1:22" ht="12.75" customHeight="1" x14ac:dyDescent="0.2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spans="1:22" ht="12.75" customHeight="1" x14ac:dyDescent="0.2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spans="1:22" ht="12.75" customHeight="1" x14ac:dyDescent="0.2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spans="1:22" ht="12.75" customHeight="1" x14ac:dyDescent="0.2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spans="1:22" ht="12.75" customHeight="1" x14ac:dyDescent="0.2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spans="1:22" ht="12.75" customHeight="1" x14ac:dyDescent="0.2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spans="1:22" ht="12.75" customHeight="1" x14ac:dyDescent="0.2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spans="1:22" ht="12.75" customHeight="1" x14ac:dyDescent="0.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spans="1:22" ht="12.75" customHeight="1" x14ac:dyDescent="0.2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spans="1:22" ht="12.75" customHeight="1" x14ac:dyDescent="0.2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spans="1:22" ht="12.75" customHeight="1" x14ac:dyDescent="0.2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spans="1:22" ht="12.75" customHeight="1" x14ac:dyDescent="0.2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spans="1:22" ht="12.75" customHeight="1" x14ac:dyDescent="0.2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spans="1:22" ht="12.75" customHeight="1" x14ac:dyDescent="0.2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spans="1:22" ht="12.75" customHeight="1" x14ac:dyDescent="0.2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spans="1:22" ht="12.75" customHeight="1" x14ac:dyDescent="0.2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spans="1:22" ht="12.75" customHeight="1" x14ac:dyDescent="0.2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spans="1:22" ht="12.75" customHeight="1" x14ac:dyDescent="0.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spans="1:22" ht="12.75" customHeight="1" x14ac:dyDescent="0.2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spans="1:22" ht="12.75" customHeight="1" x14ac:dyDescent="0.2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spans="1:22" ht="12.75" customHeight="1" x14ac:dyDescent="0.2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spans="1:22" ht="12.75" customHeight="1" x14ac:dyDescent="0.2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spans="1:22" ht="12.75" customHeight="1" x14ac:dyDescent="0.2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spans="1:22" ht="12.75" customHeight="1" x14ac:dyDescent="0.2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spans="1:22" ht="12.75" customHeight="1" x14ac:dyDescent="0.2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spans="1:22" ht="12.75" customHeight="1" x14ac:dyDescent="0.2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spans="1:22" ht="12.75" customHeight="1" x14ac:dyDescent="0.2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spans="1:22" ht="12.75" customHeight="1" x14ac:dyDescent="0.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spans="1:22" ht="12.75" customHeight="1" x14ac:dyDescent="0.2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spans="1:22" ht="12.75" customHeight="1" x14ac:dyDescent="0.2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spans="1:22" ht="12.75" customHeight="1" x14ac:dyDescent="0.2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spans="1:22" ht="12.75" customHeight="1" x14ac:dyDescent="0.2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spans="1:22" ht="12.75" customHeight="1" x14ac:dyDescent="0.2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spans="1:22" ht="12.75" customHeight="1" x14ac:dyDescent="0.2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spans="1:22" ht="12.75" customHeight="1" x14ac:dyDescent="0.2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spans="1:22" ht="12.75" customHeight="1" x14ac:dyDescent="0.2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spans="1:22" ht="12.75" customHeight="1" x14ac:dyDescent="0.2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spans="1:22" ht="12.75" customHeight="1" x14ac:dyDescent="0.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spans="1:22" ht="12.75" customHeight="1" x14ac:dyDescent="0.2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spans="1:22" ht="12.75" customHeight="1" x14ac:dyDescent="0.2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spans="1:22" ht="12.75" customHeight="1" x14ac:dyDescent="0.2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spans="1:22" ht="12.75" customHeight="1" x14ac:dyDescent="0.2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spans="1:22" ht="12.75" customHeight="1" x14ac:dyDescent="0.2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spans="1:22" ht="12.75" customHeight="1" x14ac:dyDescent="0.2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spans="1:22" ht="12.75" customHeight="1" x14ac:dyDescent="0.2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spans="1:22" ht="12.75" customHeight="1" x14ac:dyDescent="0.2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spans="1:22" ht="12.75" customHeight="1" x14ac:dyDescent="0.2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spans="1:22" ht="12.75" customHeight="1" x14ac:dyDescent="0.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spans="1:22" ht="12.75" customHeight="1" x14ac:dyDescent="0.2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spans="1:22" ht="12.75" customHeight="1" x14ac:dyDescent="0.2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spans="1:22" ht="12.75" customHeight="1" x14ac:dyDescent="0.2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spans="1:22" ht="12.75" customHeight="1" x14ac:dyDescent="0.2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spans="1:22" ht="12.75" customHeight="1" x14ac:dyDescent="0.2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spans="1:22" ht="12.75" customHeight="1" x14ac:dyDescent="0.2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spans="1:22" ht="12.75" customHeight="1" x14ac:dyDescent="0.2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spans="1:22" ht="12.75" customHeight="1" x14ac:dyDescent="0.2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spans="1:22" ht="12.75" customHeight="1" x14ac:dyDescent="0.2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spans="1:22" ht="12.75" customHeight="1" x14ac:dyDescent="0.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spans="1:22" ht="12.75" customHeight="1" x14ac:dyDescent="0.2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spans="1:22" ht="12.75" customHeight="1" x14ac:dyDescent="0.2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spans="1:22" ht="12.75" customHeight="1" x14ac:dyDescent="0.2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spans="1:22" ht="12.75" customHeight="1" x14ac:dyDescent="0.2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spans="1:22" ht="12.75" customHeight="1" x14ac:dyDescent="0.2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spans="1:22" ht="12.75" customHeight="1" x14ac:dyDescent="0.2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spans="1:22" ht="12.75" customHeight="1" x14ac:dyDescent="0.2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spans="1:22" ht="12.75" customHeight="1" x14ac:dyDescent="0.2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spans="1:22" ht="12.75" customHeight="1" x14ac:dyDescent="0.2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spans="1:22" ht="12.75" customHeight="1" x14ac:dyDescent="0.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spans="1:22" ht="12.75" customHeight="1" x14ac:dyDescent="0.2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spans="1:22" ht="12.75" customHeight="1" x14ac:dyDescent="0.2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spans="1:22" ht="12.75" customHeight="1" x14ac:dyDescent="0.2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spans="1:22" ht="12.75" customHeight="1" x14ac:dyDescent="0.2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spans="1:22" ht="12.75" customHeight="1" x14ac:dyDescent="0.2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spans="1:22" ht="12.75" customHeight="1" x14ac:dyDescent="0.2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spans="1:22" ht="12.75" customHeight="1" x14ac:dyDescent="0.2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spans="1:22" ht="12.75" customHeight="1" x14ac:dyDescent="0.2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spans="1:22" ht="12.75" customHeight="1" x14ac:dyDescent="0.2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spans="1:22" ht="12.75" customHeight="1" x14ac:dyDescent="0.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spans="1:22" ht="12.75" customHeight="1" x14ac:dyDescent="0.2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spans="1:22" ht="12.75" customHeight="1" x14ac:dyDescent="0.2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spans="1:22" ht="12.75" customHeight="1" x14ac:dyDescent="0.2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spans="1:22" ht="12.75" customHeight="1" x14ac:dyDescent="0.2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spans="1:22" ht="12.75" customHeight="1" x14ac:dyDescent="0.2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spans="1:22" ht="12.75" customHeight="1" x14ac:dyDescent="0.2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spans="1:22" ht="12.75" customHeight="1" x14ac:dyDescent="0.2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spans="1:22" ht="12.75" customHeight="1" x14ac:dyDescent="0.2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spans="1:22" ht="12.75" customHeight="1" x14ac:dyDescent="0.2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spans="1:22" ht="12.75" customHeight="1" x14ac:dyDescent="0.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spans="1:22" ht="12.75" customHeight="1" x14ac:dyDescent="0.2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spans="1:22" ht="12.75" customHeight="1" x14ac:dyDescent="0.2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spans="1:22" ht="12.75" customHeight="1" x14ac:dyDescent="0.2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spans="1:22" ht="12.75" customHeight="1" x14ac:dyDescent="0.2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spans="1:22" ht="12.75" customHeight="1" x14ac:dyDescent="0.2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spans="1:22" ht="12.75" customHeight="1" x14ac:dyDescent="0.2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spans="1:22" ht="12.75" customHeight="1" x14ac:dyDescent="0.2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spans="1:22" ht="12.75" customHeight="1" x14ac:dyDescent="0.2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spans="1:22" ht="12.75" customHeight="1" x14ac:dyDescent="0.2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spans="1:22" ht="12.75" customHeight="1" x14ac:dyDescent="0.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spans="1:22" ht="12.75" customHeight="1" x14ac:dyDescent="0.2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spans="1:22" ht="12.75" customHeight="1" x14ac:dyDescent="0.2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spans="1:22" ht="12.75" customHeight="1" x14ac:dyDescent="0.2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spans="1:22" ht="12.75" customHeight="1" x14ac:dyDescent="0.2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spans="1:22" ht="12.75" customHeight="1" x14ac:dyDescent="0.2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spans="1:22" ht="12.75" customHeight="1" x14ac:dyDescent="0.2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spans="1:22" ht="12.75" customHeight="1" x14ac:dyDescent="0.2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spans="1:22" ht="12.75" customHeight="1" x14ac:dyDescent="0.2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spans="1:22" ht="12.75" customHeight="1" x14ac:dyDescent="0.2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spans="1:22" ht="12.75" customHeight="1" x14ac:dyDescent="0.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spans="1:22" ht="12.75" customHeight="1" x14ac:dyDescent="0.2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spans="1:22" ht="12.75" customHeight="1" x14ac:dyDescent="0.2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spans="1:22" ht="12.75" customHeight="1" x14ac:dyDescent="0.2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spans="1:22" ht="12.75" customHeight="1" x14ac:dyDescent="0.2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spans="1:22" ht="12.75" customHeight="1" x14ac:dyDescent="0.2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spans="1:22" ht="12.75" customHeight="1" x14ac:dyDescent="0.2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spans="1:22" ht="12.75" customHeight="1" x14ac:dyDescent="0.2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spans="1:22" ht="12.75" customHeight="1" x14ac:dyDescent="0.2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spans="1:22" ht="12.75" customHeight="1" x14ac:dyDescent="0.2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spans="1:22" ht="12.75" customHeight="1" x14ac:dyDescent="0.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spans="1:22" ht="12.75" customHeight="1" x14ac:dyDescent="0.2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spans="1:22" ht="12.75" customHeight="1" x14ac:dyDescent="0.2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spans="1:22" ht="12.75" customHeight="1" x14ac:dyDescent="0.2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spans="1:22" ht="12.75" customHeight="1" x14ac:dyDescent="0.2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spans="1:22" ht="12.75" customHeight="1" x14ac:dyDescent="0.2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spans="1:22" ht="12.75" customHeight="1" x14ac:dyDescent="0.2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spans="1:22" ht="12.75" customHeight="1" x14ac:dyDescent="0.2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spans="1:22" ht="12.75" customHeight="1" x14ac:dyDescent="0.2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spans="1:22" ht="12.75" customHeight="1" x14ac:dyDescent="0.2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spans="1:22" ht="12.75" customHeight="1" x14ac:dyDescent="0.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spans="1:22" ht="12.75" customHeight="1" x14ac:dyDescent="0.2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spans="1:22" ht="12.75" customHeight="1" x14ac:dyDescent="0.2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spans="1:22" ht="12.75" customHeight="1" x14ac:dyDescent="0.2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spans="1:22" ht="12.75" customHeight="1" x14ac:dyDescent="0.2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spans="1:22" ht="12.75" customHeight="1" x14ac:dyDescent="0.2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spans="1:22" ht="12.75" customHeight="1" x14ac:dyDescent="0.2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spans="1:22" ht="12.75" customHeight="1" x14ac:dyDescent="0.2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spans="1:22" ht="12.75" customHeight="1" x14ac:dyDescent="0.2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spans="1:22" ht="12.75" customHeight="1" x14ac:dyDescent="0.2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spans="1:22" ht="12.75" customHeight="1" x14ac:dyDescent="0.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spans="1:22" ht="12.75" customHeight="1" x14ac:dyDescent="0.2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spans="1:22" ht="12.75" customHeight="1" x14ac:dyDescent="0.2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spans="1:22" ht="12.75" customHeight="1" x14ac:dyDescent="0.2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spans="1:22" ht="12.75" customHeight="1" x14ac:dyDescent="0.2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spans="1:22" ht="12.75" customHeight="1" x14ac:dyDescent="0.2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spans="1:22" ht="12.75" customHeight="1" x14ac:dyDescent="0.2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spans="1:22" ht="12.75" customHeight="1" x14ac:dyDescent="0.2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spans="1:22" ht="12.75" customHeight="1" x14ac:dyDescent="0.2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spans="1:22" ht="12.75" customHeight="1" x14ac:dyDescent="0.2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spans="1:22" ht="12.75" customHeight="1" x14ac:dyDescent="0.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spans="1:22" ht="12.75" customHeight="1" x14ac:dyDescent="0.2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spans="1:22" ht="12.75" customHeight="1" x14ac:dyDescent="0.2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spans="1:22" ht="12.75" customHeight="1" x14ac:dyDescent="0.2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spans="1:22" ht="12.75" customHeight="1" x14ac:dyDescent="0.2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spans="1:22" ht="12.75" customHeight="1" x14ac:dyDescent="0.2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spans="1:22" ht="12.75" customHeight="1" x14ac:dyDescent="0.2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spans="1:22" ht="12.75" customHeight="1" x14ac:dyDescent="0.2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spans="1:22" ht="12.75" customHeight="1" x14ac:dyDescent="0.2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spans="1:22" ht="12.75" customHeight="1" x14ac:dyDescent="0.2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spans="1:22" ht="12.75" customHeight="1" x14ac:dyDescent="0.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spans="1:22" ht="12.75" customHeight="1" x14ac:dyDescent="0.2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spans="1:22" ht="12.75" customHeight="1" x14ac:dyDescent="0.2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spans="1:22" ht="12.75" customHeight="1" x14ac:dyDescent="0.2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spans="1:22" ht="12.75" customHeight="1" x14ac:dyDescent="0.2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spans="1:22" ht="12.75" customHeight="1" x14ac:dyDescent="0.2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spans="1:22" ht="12.75" customHeight="1" x14ac:dyDescent="0.2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spans="1:22" ht="12.75" customHeight="1" x14ac:dyDescent="0.2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spans="1:22" ht="12.75" customHeight="1" x14ac:dyDescent="0.2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spans="1:22" ht="12.75" customHeight="1" x14ac:dyDescent="0.2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spans="1:22" ht="12.75" customHeight="1" x14ac:dyDescent="0.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spans="1:22" ht="12.75" customHeight="1" x14ac:dyDescent="0.2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spans="1:22" ht="12.75" customHeight="1" x14ac:dyDescent="0.2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spans="1:22" ht="12.75" customHeight="1" x14ac:dyDescent="0.2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spans="1:22" ht="12.75" customHeight="1" x14ac:dyDescent="0.2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spans="1:22" ht="12.75" customHeight="1" x14ac:dyDescent="0.2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spans="1:22" ht="12.75" customHeight="1" x14ac:dyDescent="0.2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spans="1:22" ht="12.75" customHeight="1" x14ac:dyDescent="0.2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spans="1:22" ht="12.75" customHeight="1" x14ac:dyDescent="0.2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spans="1:22" ht="12.75" customHeight="1" x14ac:dyDescent="0.2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spans="1:22" ht="12.75" customHeight="1" x14ac:dyDescent="0.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spans="1:22" ht="12.75" customHeight="1" x14ac:dyDescent="0.2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spans="1:22" ht="12.75" customHeight="1" x14ac:dyDescent="0.2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spans="1:22" ht="12.75" customHeight="1" x14ac:dyDescent="0.2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spans="1:22" ht="12.75" customHeight="1" x14ac:dyDescent="0.2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spans="1:22" ht="12.75" customHeight="1" x14ac:dyDescent="0.2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spans="1:22" ht="12.75" customHeight="1" x14ac:dyDescent="0.2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spans="1:22" ht="12.75" customHeight="1" x14ac:dyDescent="0.2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spans="1:22" ht="12.75" customHeight="1" x14ac:dyDescent="0.2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spans="1:22" ht="12.75" customHeight="1" x14ac:dyDescent="0.2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spans="1:22" ht="12.75" customHeight="1" x14ac:dyDescent="0.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spans="1:22" ht="12.75" customHeight="1" x14ac:dyDescent="0.2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spans="1:22" ht="12.75" customHeight="1" x14ac:dyDescent="0.2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spans="1:22" ht="12.75" customHeight="1" x14ac:dyDescent="0.2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spans="1:22" ht="12.75" customHeight="1" x14ac:dyDescent="0.2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spans="1:22" ht="12.75" customHeight="1" x14ac:dyDescent="0.2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spans="1:22" ht="12.75" customHeight="1" x14ac:dyDescent="0.2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spans="1:22" ht="12.75" customHeight="1" x14ac:dyDescent="0.2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spans="1:22" ht="12.75" customHeight="1" x14ac:dyDescent="0.2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spans="1:22" ht="12.75" customHeight="1" x14ac:dyDescent="0.2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spans="1:22" ht="12.75" customHeight="1" x14ac:dyDescent="0.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spans="1:22" ht="12.75" customHeight="1" x14ac:dyDescent="0.2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spans="1:22" ht="12.75" customHeight="1" x14ac:dyDescent="0.2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spans="1:22" ht="12.75" customHeight="1" x14ac:dyDescent="0.2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spans="1:22" ht="12.75" customHeight="1" x14ac:dyDescent="0.2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spans="1:22" ht="12.75" customHeight="1" x14ac:dyDescent="0.2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spans="1:22" ht="12.75" customHeight="1" x14ac:dyDescent="0.2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spans="1:22" ht="12.75" customHeight="1" x14ac:dyDescent="0.2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spans="1:22" ht="12.75" customHeight="1" x14ac:dyDescent="0.2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spans="1:22" ht="12.75" customHeight="1" x14ac:dyDescent="0.2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spans="1:22" ht="12.75" customHeight="1" x14ac:dyDescent="0.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spans="1:22" ht="12.75" customHeight="1" x14ac:dyDescent="0.2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spans="1:22" ht="12.75" customHeight="1" x14ac:dyDescent="0.2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spans="1:22" ht="12.75" customHeight="1" x14ac:dyDescent="0.2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spans="1:22" ht="12.75" customHeight="1" x14ac:dyDescent="0.2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spans="1:22" ht="12.75" customHeight="1" x14ac:dyDescent="0.2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spans="1:22" ht="12.75" customHeight="1" x14ac:dyDescent="0.2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spans="1:22" ht="12.75" customHeight="1" x14ac:dyDescent="0.2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spans="1:22" ht="12.75" customHeight="1" x14ac:dyDescent="0.2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spans="1:22" ht="12.75" customHeight="1" x14ac:dyDescent="0.2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spans="1:22" ht="12.75" customHeight="1" x14ac:dyDescent="0.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spans="1:22" ht="12.75" customHeight="1" x14ac:dyDescent="0.2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spans="1:22" ht="12.75" customHeight="1" x14ac:dyDescent="0.2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spans="1:22" ht="12.75" customHeight="1" x14ac:dyDescent="0.2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spans="1:22" ht="12.75" customHeight="1" x14ac:dyDescent="0.2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spans="1:22" ht="12.75" customHeight="1" x14ac:dyDescent="0.2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spans="1:22" ht="12.75" customHeight="1" x14ac:dyDescent="0.2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spans="1:22" ht="12.75" customHeight="1" x14ac:dyDescent="0.2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spans="1:22" ht="12.75" customHeight="1" x14ac:dyDescent="0.2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spans="1:22" ht="12.75" customHeight="1" x14ac:dyDescent="0.2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spans="1:22" ht="12.75" customHeight="1" x14ac:dyDescent="0.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spans="1:22" ht="12.75" customHeight="1" x14ac:dyDescent="0.2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spans="1:22" ht="12.75" customHeight="1" x14ac:dyDescent="0.2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spans="1:22" ht="12.75" customHeight="1" x14ac:dyDescent="0.2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spans="1:22" ht="12.75" customHeight="1" x14ac:dyDescent="0.2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spans="1:22" ht="12.75" customHeight="1" x14ac:dyDescent="0.2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spans="1:22" ht="12.75" customHeight="1" x14ac:dyDescent="0.2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spans="1:22" ht="12.75" customHeight="1" x14ac:dyDescent="0.2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spans="1:22" ht="12.75" customHeight="1" x14ac:dyDescent="0.2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spans="1:22" ht="12.75" customHeight="1" x14ac:dyDescent="0.2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spans="1:22" ht="12.75" customHeight="1" x14ac:dyDescent="0.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spans="1:22" ht="12.75" customHeight="1" x14ac:dyDescent="0.2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spans="1:22" ht="12.75" customHeight="1" x14ac:dyDescent="0.2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spans="1:22" ht="12.75" customHeight="1" x14ac:dyDescent="0.2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spans="1:22" ht="12.75" customHeight="1" x14ac:dyDescent="0.2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spans="1:22" ht="12.75" customHeight="1" x14ac:dyDescent="0.2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spans="1:22" ht="12.75" customHeight="1" x14ac:dyDescent="0.2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spans="1:22" ht="12.75" customHeight="1" x14ac:dyDescent="0.2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spans="1:22" ht="12.75" customHeight="1" x14ac:dyDescent="0.2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spans="1:22" ht="12.75" customHeight="1" x14ac:dyDescent="0.2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spans="1:22" ht="12.75" customHeight="1" x14ac:dyDescent="0.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spans="1:22" ht="12.75" customHeight="1" x14ac:dyDescent="0.2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spans="1:22" ht="12.75" customHeight="1" x14ac:dyDescent="0.2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spans="1:22" ht="12.75" customHeight="1" x14ac:dyDescent="0.2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spans="1:22" ht="12.75" customHeight="1" x14ac:dyDescent="0.2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spans="1:22" ht="12.75" customHeight="1" x14ac:dyDescent="0.2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spans="1:22" ht="12.75" customHeight="1" x14ac:dyDescent="0.2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spans="1:22" ht="12.75" customHeight="1" x14ac:dyDescent="0.2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spans="1:22" ht="12.75" customHeight="1" x14ac:dyDescent="0.2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spans="1:22" ht="12.75" customHeight="1" x14ac:dyDescent="0.2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spans="1:22" ht="12.75" customHeight="1" x14ac:dyDescent="0.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spans="1:22" ht="12.75" customHeight="1" x14ac:dyDescent="0.2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spans="1:22" ht="12.75" customHeight="1" x14ac:dyDescent="0.2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spans="1:22" ht="12.75" customHeight="1" x14ac:dyDescent="0.2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spans="1:22" ht="12.75" customHeight="1" x14ac:dyDescent="0.2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spans="1:22" ht="12.75" customHeight="1" x14ac:dyDescent="0.2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spans="1:22" ht="12.75" customHeight="1" x14ac:dyDescent="0.2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spans="1:22" ht="12.75" customHeight="1" x14ac:dyDescent="0.2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spans="1:22" ht="12.75" customHeight="1" x14ac:dyDescent="0.2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spans="1:22" ht="12.75" customHeight="1" x14ac:dyDescent="0.2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spans="1:22" ht="12.75" customHeight="1" x14ac:dyDescent="0.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spans="1:22" ht="12.75" customHeight="1" x14ac:dyDescent="0.2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spans="1:22" ht="12.75" customHeight="1" x14ac:dyDescent="0.2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spans="1:22" ht="12.75" customHeight="1" x14ac:dyDescent="0.2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spans="1:22" ht="12.75" customHeight="1" x14ac:dyDescent="0.2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spans="1:22" ht="12.75" customHeight="1" x14ac:dyDescent="0.2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spans="1:22" ht="12.75" customHeight="1" x14ac:dyDescent="0.2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spans="1:22" ht="12.75" customHeight="1" x14ac:dyDescent="0.2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spans="1:22" ht="12.75" customHeight="1" x14ac:dyDescent="0.2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spans="1:22" ht="12.75" customHeight="1" x14ac:dyDescent="0.2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spans="1:22" ht="12.75" customHeight="1" x14ac:dyDescent="0.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spans="1:22" ht="12.75" customHeight="1" x14ac:dyDescent="0.2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spans="1:22" ht="12.75" customHeight="1" x14ac:dyDescent="0.2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spans="1:22" ht="12.75" customHeight="1" x14ac:dyDescent="0.2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spans="1:22" ht="12.75" customHeight="1" x14ac:dyDescent="0.2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spans="1:22" ht="12.75" customHeight="1" x14ac:dyDescent="0.2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spans="1:22" ht="12.75" customHeight="1" x14ac:dyDescent="0.2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spans="1:22" ht="12.75" customHeight="1" x14ac:dyDescent="0.2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spans="1:22" ht="12.75" customHeight="1" x14ac:dyDescent="0.2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spans="1:22" ht="12.75" customHeight="1" x14ac:dyDescent="0.2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spans="1:22" ht="12.75" customHeight="1" x14ac:dyDescent="0.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spans="1:22" ht="12.75" customHeight="1" x14ac:dyDescent="0.2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spans="1:22" ht="12.75" customHeight="1" x14ac:dyDescent="0.2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spans="1:22" ht="12.75" customHeight="1" x14ac:dyDescent="0.2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spans="1:22" ht="12.75" customHeight="1" x14ac:dyDescent="0.2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spans="1:22" ht="12.75" customHeight="1" x14ac:dyDescent="0.2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spans="1:22" ht="12.75" customHeight="1" x14ac:dyDescent="0.2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spans="1:22" ht="12.75" customHeight="1" x14ac:dyDescent="0.2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spans="1:22" ht="12.75" customHeight="1" x14ac:dyDescent="0.2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spans="1:22" ht="12.75" customHeight="1" x14ac:dyDescent="0.2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spans="1:22" ht="12.75" customHeight="1" x14ac:dyDescent="0.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spans="1:22" ht="12.75" customHeight="1" x14ac:dyDescent="0.2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spans="1:22" ht="12.75" customHeight="1" x14ac:dyDescent="0.2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spans="1:22" ht="12.75" customHeight="1" x14ac:dyDescent="0.2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spans="1:22" ht="12.75" customHeight="1" x14ac:dyDescent="0.2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spans="1:22" ht="12.75" customHeight="1" x14ac:dyDescent="0.2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spans="1:22" ht="12.75" customHeight="1" x14ac:dyDescent="0.2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spans="1:22" ht="12.75" customHeight="1" x14ac:dyDescent="0.2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spans="1:22" ht="12.75" customHeight="1" x14ac:dyDescent="0.2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spans="1:22" ht="12.75" customHeight="1" x14ac:dyDescent="0.2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spans="1:22" ht="12.75" customHeight="1" x14ac:dyDescent="0.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spans="1:22" ht="12.75" customHeight="1" x14ac:dyDescent="0.2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spans="1:22" ht="12.75" customHeight="1" x14ac:dyDescent="0.2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spans="1:22" ht="12.75" customHeight="1" x14ac:dyDescent="0.2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spans="1:22" ht="12.75" customHeight="1" x14ac:dyDescent="0.2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spans="1:22" ht="12.75" customHeight="1" x14ac:dyDescent="0.2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spans="1:22" ht="12.75" customHeight="1" x14ac:dyDescent="0.2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spans="1:22" ht="12.75" customHeight="1" x14ac:dyDescent="0.2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spans="1:22" ht="12.75" customHeight="1" x14ac:dyDescent="0.2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spans="1:22" ht="12.75" customHeight="1" x14ac:dyDescent="0.2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spans="1:22" ht="12.75" customHeight="1" x14ac:dyDescent="0.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spans="1:22" ht="12.75" customHeight="1" x14ac:dyDescent="0.2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spans="1:22" ht="12.75" customHeight="1" x14ac:dyDescent="0.2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spans="1:22" ht="12.75" customHeight="1" x14ac:dyDescent="0.2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spans="1:22" ht="12.75" customHeight="1" x14ac:dyDescent="0.2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spans="1:22" ht="12.75" customHeight="1" x14ac:dyDescent="0.2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spans="1:22" ht="12.75" customHeight="1" x14ac:dyDescent="0.2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spans="1:22" ht="12.75" customHeight="1" x14ac:dyDescent="0.2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spans="1:22" ht="12.75" customHeight="1" x14ac:dyDescent="0.2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spans="1:22" ht="12.75" customHeight="1" x14ac:dyDescent="0.2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spans="1:22" ht="12.75" customHeight="1" x14ac:dyDescent="0.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spans="1:22" ht="12.75" customHeight="1" x14ac:dyDescent="0.2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spans="1:22" ht="12.75" customHeight="1" x14ac:dyDescent="0.2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spans="1:22" ht="12.75" customHeight="1" x14ac:dyDescent="0.2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spans="1:22" ht="12.75" customHeight="1" x14ac:dyDescent="0.2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spans="1:22" ht="12.75" customHeight="1" x14ac:dyDescent="0.2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spans="1:22" ht="12.75" customHeight="1" x14ac:dyDescent="0.2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spans="1:22" ht="12.75" customHeight="1" x14ac:dyDescent="0.2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spans="1:22" ht="12.75" customHeight="1" x14ac:dyDescent="0.2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4F0E-A5DE-467C-89E6-D934B812FDB2}">
  <dimension ref="A1:D23"/>
  <sheetViews>
    <sheetView showGridLines="0" zoomScale="85" zoomScaleNormal="85" workbookViewId="0">
      <selection activeCell="K12" sqref="K12"/>
    </sheetView>
  </sheetViews>
  <sheetFormatPr baseColWidth="10" defaultColWidth="11.5703125" defaultRowHeight="14.25" x14ac:dyDescent="0.2"/>
  <cols>
    <col min="1" max="2" width="11.5703125" style="133"/>
    <col min="3" max="3" width="112.85546875" style="133" bestFit="1" customWidth="1"/>
    <col min="4" max="4" width="17.85546875" style="133" customWidth="1"/>
    <col min="5" max="16384" width="11.5703125" style="133"/>
  </cols>
  <sheetData>
    <row r="1" spans="1:4" ht="24.75" thickTop="1" thickBot="1" x14ac:dyDescent="0.4">
      <c r="C1" s="134" t="s">
        <v>1156</v>
      </c>
      <c r="D1" s="135"/>
    </row>
    <row r="2" spans="1:4" ht="15.75" thickTop="1" thickBot="1" x14ac:dyDescent="0.25"/>
    <row r="3" spans="1:4" ht="16.5" thickTop="1" x14ac:dyDescent="0.2">
      <c r="A3" s="133" t="s">
        <v>1157</v>
      </c>
      <c r="B3" s="133" t="s">
        <v>543</v>
      </c>
      <c r="C3" s="136" t="s">
        <v>1158</v>
      </c>
      <c r="D3" s="137">
        <v>46054</v>
      </c>
    </row>
    <row r="4" spans="1:4" x14ac:dyDescent="0.2">
      <c r="A4" s="138">
        <v>1</v>
      </c>
      <c r="B4" s="138">
        <v>900462</v>
      </c>
      <c r="C4" s="139" t="s">
        <v>1159</v>
      </c>
      <c r="D4" s="140">
        <v>628400</v>
      </c>
    </row>
    <row r="5" spans="1:4" x14ac:dyDescent="0.2">
      <c r="A5" s="138">
        <v>1</v>
      </c>
      <c r="B5" s="138">
        <v>900446</v>
      </c>
      <c r="C5" s="139" t="s">
        <v>1160</v>
      </c>
      <c r="D5" s="140">
        <v>805000</v>
      </c>
    </row>
    <row r="6" spans="1:4" x14ac:dyDescent="0.2">
      <c r="A6" s="138">
        <v>1</v>
      </c>
      <c r="B6" s="138">
        <v>900441</v>
      </c>
      <c r="C6" s="139" t="s">
        <v>1161</v>
      </c>
      <c r="D6" s="140">
        <v>920000</v>
      </c>
    </row>
    <row r="7" spans="1:4" x14ac:dyDescent="0.2">
      <c r="A7" s="138">
        <v>1</v>
      </c>
      <c r="B7" s="138">
        <v>900444</v>
      </c>
      <c r="C7" s="139" t="s">
        <v>1162</v>
      </c>
      <c r="D7" s="140">
        <v>350000</v>
      </c>
    </row>
    <row r="8" spans="1:4" x14ac:dyDescent="0.2">
      <c r="A8" s="138">
        <v>1</v>
      </c>
      <c r="B8" s="138">
        <v>341320</v>
      </c>
      <c r="C8" s="139" t="s">
        <v>1163</v>
      </c>
      <c r="D8" s="140">
        <v>846250</v>
      </c>
    </row>
    <row r="9" spans="1:4" x14ac:dyDescent="0.2">
      <c r="A9" s="138">
        <v>1</v>
      </c>
      <c r="B9" s="138">
        <v>341321</v>
      </c>
      <c r="C9" s="139" t="s">
        <v>1164</v>
      </c>
      <c r="D9" s="140">
        <v>1275000</v>
      </c>
    </row>
    <row r="10" spans="1:4" ht="28.5" x14ac:dyDescent="0.2">
      <c r="A10" s="138">
        <v>1</v>
      </c>
      <c r="B10" s="138">
        <v>900452</v>
      </c>
      <c r="C10" s="141" t="s">
        <v>1165</v>
      </c>
      <c r="D10" s="142">
        <v>2260000</v>
      </c>
    </row>
    <row r="11" spans="1:4" x14ac:dyDescent="0.2">
      <c r="A11" s="138">
        <v>1</v>
      </c>
      <c r="B11" s="138">
        <v>900454</v>
      </c>
      <c r="C11" s="139" t="s">
        <v>1166</v>
      </c>
      <c r="D11" s="140">
        <v>920000</v>
      </c>
    </row>
    <row r="12" spans="1:4" x14ac:dyDescent="0.2">
      <c r="A12" s="138">
        <v>1</v>
      </c>
      <c r="B12" s="138">
        <v>341322</v>
      </c>
      <c r="C12" s="139" t="s">
        <v>1167</v>
      </c>
      <c r="D12" s="140">
        <v>1275000</v>
      </c>
    </row>
    <row r="13" spans="1:4" x14ac:dyDescent="0.2">
      <c r="A13" s="138">
        <v>1</v>
      </c>
      <c r="B13" s="138">
        <v>900459</v>
      </c>
      <c r="C13" s="139" t="s">
        <v>1168</v>
      </c>
      <c r="D13" s="140">
        <v>920000</v>
      </c>
    </row>
    <row r="14" spans="1:4" x14ac:dyDescent="0.2">
      <c r="A14" s="138">
        <v>1</v>
      </c>
      <c r="B14" s="138">
        <v>900460</v>
      </c>
      <c r="C14" s="139" t="s">
        <v>1169</v>
      </c>
      <c r="D14" s="140">
        <v>2260000</v>
      </c>
    </row>
    <row r="15" spans="1:4" ht="27" x14ac:dyDescent="0.2">
      <c r="A15" s="138">
        <v>1</v>
      </c>
      <c r="B15" s="138">
        <v>900447</v>
      </c>
      <c r="C15" s="141" t="s">
        <v>1170</v>
      </c>
      <c r="D15" s="140">
        <v>1600000</v>
      </c>
    </row>
    <row r="16" spans="1:4" ht="28.5" x14ac:dyDescent="0.2">
      <c r="A16" s="138">
        <v>1</v>
      </c>
      <c r="B16" s="138">
        <v>900448</v>
      </c>
      <c r="C16" s="141" t="s">
        <v>1171</v>
      </c>
      <c r="D16" s="140">
        <v>2260000</v>
      </c>
    </row>
    <row r="17" spans="1:4" x14ac:dyDescent="0.2">
      <c r="A17" s="138">
        <v>1</v>
      </c>
      <c r="B17" s="143">
        <v>900461</v>
      </c>
      <c r="C17" s="144" t="s">
        <v>1172</v>
      </c>
      <c r="D17" s="140">
        <v>1950000</v>
      </c>
    </row>
    <row r="18" spans="1:4" x14ac:dyDescent="0.2">
      <c r="A18" s="138">
        <v>1</v>
      </c>
      <c r="B18" s="138">
        <v>900442</v>
      </c>
      <c r="C18" s="139" t="s">
        <v>1173</v>
      </c>
      <c r="D18" s="140">
        <v>1150000</v>
      </c>
    </row>
    <row r="19" spans="1:4" ht="15" thickBot="1" x14ac:dyDescent="0.25">
      <c r="A19" s="138">
        <v>1</v>
      </c>
      <c r="B19" s="138">
        <v>900443</v>
      </c>
      <c r="C19" s="139" t="s">
        <v>1174</v>
      </c>
      <c r="D19" s="140">
        <v>1150000</v>
      </c>
    </row>
    <row r="20" spans="1:4" ht="16.5" thickTop="1" x14ac:dyDescent="0.2">
      <c r="A20" s="138"/>
      <c r="B20" s="138"/>
      <c r="C20" s="145" t="s">
        <v>1175</v>
      </c>
      <c r="D20" s="137">
        <v>46054</v>
      </c>
    </row>
    <row r="21" spans="1:4" x14ac:dyDescent="0.2">
      <c r="A21" s="138">
        <v>1</v>
      </c>
      <c r="B21" s="138">
        <v>900457</v>
      </c>
      <c r="C21" s="146" t="s">
        <v>1176</v>
      </c>
      <c r="D21" s="147">
        <v>920000</v>
      </c>
    </row>
    <row r="22" spans="1:4" ht="28.5" x14ac:dyDescent="0.2">
      <c r="A22" s="138">
        <v>1</v>
      </c>
      <c r="B22" s="138">
        <v>900449</v>
      </c>
      <c r="C22" s="146" t="s">
        <v>1177</v>
      </c>
      <c r="D22" s="148" t="s">
        <v>1151</v>
      </c>
    </row>
    <row r="23" spans="1:4" ht="28.5" x14ac:dyDescent="0.2">
      <c r="A23" s="138">
        <v>1</v>
      </c>
      <c r="B23" s="143">
        <v>910089</v>
      </c>
      <c r="C23" s="149" t="s">
        <v>1178</v>
      </c>
      <c r="D23" s="148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Aranceles Institucionales</vt:lpstr>
      <vt:lpstr>Proc. Neuroendovasculares</vt:lpstr>
      <vt:lpstr>Cirugías bariátricas</vt:lpstr>
      <vt:lpstr>Cirugías</vt:lpstr>
      <vt:lpstr>Tests de Alergia</vt:lpstr>
      <vt:lpstr>Anatomia Patologica</vt:lpstr>
      <vt:lpstr>HM AAARBA</vt:lpstr>
      <vt:lpstr>TTO DEL DOLOR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Smocovich</dc:creator>
  <cp:lastModifiedBy>Estela Neue</cp:lastModifiedBy>
  <dcterms:created xsi:type="dcterms:W3CDTF">2013-11-26T10:54:34Z</dcterms:created>
  <dcterms:modified xsi:type="dcterms:W3CDTF">2026-03-18T14:53:13Z</dcterms:modified>
</cp:coreProperties>
</file>